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f20b72dc2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b792e5af4d4cfb"/>
    <x:sheet xmlns:r="http://schemas.openxmlformats.org/officeDocument/2006/relationships" name="调用明细" sheetId="2" r:id="R9709e32b5fba4096"/>
    <x:sheet xmlns:r="http://schemas.openxmlformats.org/officeDocument/2006/relationships" name="汇总" sheetId="3" r:id="R773b6af450d64053"/>
  </x:sheets>
</x:workbook>
</file>

<file path=xl/sharedStrings.xml><?xml version="1.0" encoding="utf-8"?>
<x:sst xmlns:x="http://schemas.openxmlformats.org/spreadsheetml/2006/main">
  <x:si>
    <x:t xml:space="preserve">难度</x:t>
  </x:si>
  <x:si>
    <x:t xml:space="preserve">题型</x:t>
  </x:si>
  <x:si>
    <x:t xml:space="preserve">问题</x:t>
  </x:si>
  <x:si>
    <x:t xml:space="preserve">正确填参</x:t>
  </x:si>
  <x:si>
    <x:t xml:space="preserve">答案</x:t>
  </x:si>
  <x:si>
    <x:t xml:space="preserve">Level1</x:t>
  </x:si>
  <x:si>
    <x:t xml:space="preserve">单小区查询基础字段</x:t>
  </x:si>
  <x:si>
    <x:t xml:space="preserve">帮我查一下深圳大梅沙D-HRH-2小区的经度、纬度和方位角。</x:t>
  </x:si>
  <x:si>
    <x:t xml:space="preserve">{
  "entityNames": [
    "深圳大梅沙D-HRH-2"
  ],
  "dataPath": null,
  "dimension": "CELL",
  "ratTypes": [],
  "fields": [
    "经度",
    "纬度",
    "方位角"
  ],
  "filters": null
}</x:t>
  </x:si>
  <x:si>
    <x:t xml:space="preserve">深圳大梅沙D-HRH-2，经度=114.3056，纬度=22.6027，方位角=150</x:t>
  </x:si>
  <x:si>
    <x:t xml:space="preserve">单站点查询天线参数</x:t>
  </x:si>
  <x:si>
    <x:t xml:space="preserve">看一下CBN-深圳天麓八区U-H5H站点下小区的天线高度和机械下倾角。</x:t>
  </x:si>
  <x:si>
    <x:t xml:space="preserve">{
  "entityNames": [
    "CBN-深圳天麓八区U-H5H"
  ],
  "dataPath": null,
  "dimension": "CELL",
  "ratTypes": [],
  "fields": [
    "天线高度",
    "机械下倾角"
  ],
  "filters": null
}</x:t>
  </x:si>
  <x:si>
    <x:t xml:space="preserve">CBN-深圳东海岸三[CBN-深圳天麓八区U-H5H]U-H5H-0713，天线高度=60，机械下倾角=10；CBN-深圳东海岸三[CBN-深圳天麓八区U-H5H]U-H5H-0712，天线高度=60，机械下倾角=10；CBN-深圳东海岸三[CBN-深圳天麓八区U-H5H]U-H5H-0711，天线高度=60，机械下倾角=10</x:t>
  </x:si>
  <x:si>
    <x:t xml:space="preserve">单小区查询标识字段</x:t>
  </x:si>
  <x:si>
    <x:t xml:space="preserve">查询CBN-福州仓山-火车南站西广场南侧高架桥旁C-HRHH-512小区的小区标识和基站标识。</x:t>
  </x:si>
  <x:si>
    <x:t xml:space="preserve">{
  "entityNames": [
    "CBN-福州仓山-火车南站西广场南侧高架桥旁C-HRHH-512"
  ],
  "dataPath": null,
  "dimension": "CELL",
  "ratTypes": [],
  "fields": [
    "小区标识",
    "基站标识"
  ],
  "filters": null
}</x:t>
  </x:si>
  <x:si>
    <x:t xml:space="preserve">CBN-福州仓山-火车南站西广场南侧高架桥旁C-HRHH-512，小区标识=512，基站标识=2143544</x:t>
  </x:si>
  <x:si>
    <x:t xml:space="preserve">单小区查询方向角</x:t>
  </x:si>
  <x:si>
    <x:t xml:space="preserve">确认一下深圳梅沙湾二D-HRH-3小区的方向角是多少。</x:t>
  </x:si>
  <x:si>
    <x:t xml:space="preserve">{
  "entityNames": [
    "深圳梅沙湾二D-HRH-3"
  ],
  "dataPath": null,
  "dimension": "CELL",
  "ratTypes": [],
  "fields": [
    "方向角"
  ],
  "filters": null
}</x:t>
  </x:si>
  <x:si>
    <x:t xml:space="preserve">深圳梅沙湾二D-HRH-3，方位角=355</x:t>
  </x:si>
  <x:si>
    <x:t xml:space="preserve">单站点查询位置信息</x:t>
  </x:si>
  <x:si>
    <x:t xml:space="preserve">找出CBN-福州晋安-高铁鼓山1号隧道洞室1C-HRRH站点下小区的经度和纬度。</x:t>
  </x:si>
  <x:si>
    <x:t xml:space="preserve">{
  "entityNames": [
    "CBN-福州晋安-高铁鼓山1号隧道洞室1C-HRRH"
  ],
  "dataPath": null,
  "dimension": "CELL",
  "ratTypes": [],
  "fields": [
    "经度",
    "纬度"
  ],
  "filters": null
}</x:t>
  </x:si>
  <x:si>
    <x:t xml:space="preserve">CBN-福州晋安-福厦高铁鼓山鼓一隧道C-HRRH-513，经度=119.307778，纬度=26.043889；CBN-福州晋安-福厦高铁鼓山鼓一隧道C-HRRH-512，经度=119.307778，纬度=26.043889</x:t>
  </x:si>
  <x:si>
    <x:t xml:space="preserve">Level2</x:t>
  </x:si>
  <x:si>
    <x:t xml:space="preserve">多小区多字段查询</x:t>
  </x:si>
  <x:si>
    <x:t xml:space="preserve">帮我查一下CBN-福州晋安-福厦高铁苔井山隧道入口（左侧）C-HRRH-513和CBN-福州仓山-福厦高铁鸡笼山隧道C-HRRH-513这两个小区的方位角、电子下倾角和机械下倾角。</x:t>
  </x:si>
  <x:si>
    <x:t xml:space="preserve">{
  "entityNames": [
    "CBN-福州晋安-福厦高铁苔井山隧道入口（左侧）C-HRRH-513",
    "CBN-福州仓山-福厦高铁鸡笼山隧道C-HRRH-513"
  ],
  "dataPath": null,
  "dimension": "CELL",
  "ratTypes": [],
  "fields": [
    "方位角",
    "电子下倾角",
    "机械下倾角"
  ],
  "filters": null
}</x:t>
  </x:si>
  <x:si>
    <x:t xml:space="preserve">CBN-福州仓山-福厦高铁鸡笼山隧道C-HRRH-513，方位角=170，电子下倾角=6，机械下倾角=6；CBN-福州晋安-福厦高铁苔井山隧道入口（左侧）C-HRRH-513，方位角=170，电子下倾角=6，机械下倾角=6</x:t>
  </x:si>
  <x:si>
    <x:t xml:space="preserve">多站点多字段查询</x:t>
  </x:si>
  <x:si>
    <x:t xml:space="preserve">看一下深圳东华风车D-HRH和CBN-深圳上威梅沙二U-H5H这两个站点下小区的基站标识、纬度和设备厂商。</x:t>
  </x:si>
  <x:si>
    <x:t xml:space="preserve">{
  "entityNames": [
    "深圳东华风车D-HRH",
    "CBN-深圳上威梅沙二U-H5H"
  ],
  "dataPath": null,
  "dimension": "CELL",
  "ratTypes": [],
  "fields": [
    "基站标识",
    "纬度",
    "设备厂商"
  ],
  "filters": null
}</x:t>
  </x:si>
  <x:si>
    <x:t xml:space="preserve">CBN-深圳上威梅沙二U-H5H-0711，基站标识=12709399，纬度=22.602184，设备厂商=Huawei；CBN-深圳上威梅沙二U-H5H-0712，基站标识=12709399，纬度=22.602184，设备厂商=Huawei；深圳东华风车D-HRH-1，基站标识=12645467，纬度=22.6261，设备厂商=Huawei</x:t>
  </x:si>
  <x:si>
    <x:t xml:space="preserve">对比一下CBN-深圳梅沙湾U-H5H-0712、CBN-深圳梅沙湾U-H5H-0711和CBN-深圳东海岸三[CBN-深圳天麓八区U-H5H]U-H5H-0711这三个小区的移动国家码、方向角和天线高度。</x:t>
  </x:si>
  <x:si>
    <x:t xml:space="preserve">{
  "entityNames": [
    "CBN-深圳梅沙湾U-H5H-0712",
    "CBN-深圳梅沙湾U-H5H-0711",
    "CBN-深圳东海岸三[CBN-深圳天麓八区U-H5H]U-H5H-0711"
  ],
  "dataPath": null,
  "dimension": "CELL",
  "ratTypes": [],
  "fields": [
    "移动国家码",
    "方向角",
    "天线高度"
  ],
  "filters": null
}</x:t>
  </x:si>
  <x:si>
    <x:t xml:space="preserve">CBN-深圳梅沙湾U-H5H-0711，移动国家码=460，方位角=30，天线高度=16；CBN-深圳梅沙湾U-H5H-0712，移动国家码=460，方位角=200，天线高度=16；CBN-深圳东海岸三[CBN-深圳天麓八区U-H5H]U-H5H-0711，移动国家码=460，方位角=5，天线高度=60</x:t>
  </x:si>
  <x:si>
    <x:t xml:space="preserve">找出CBN-福州晋安-站东路三环北路交叉西C-HRRH和CBN-福州仓山-高铁鸡笼山隧道入口C-HRRH这两个站点下小区的经度、纬度和方位角。</x:t>
  </x:si>
  <x:si>
    <x:t xml:space="preserve">{
  "entityNames": [
    "CBN-福州晋安-站东路三环北路交叉西C-HRRH",
    "CBN-福州仓山-高铁鸡笼山隧道入口C-HRRH"
  ],
  "dataPath": null,
  "dimension": "CELL",
  "ratTypes": [],
  "fields": [
    "经度",
    "纬度",
    "方位角"
  ],
  "filters": null
}</x:t>
  </x:si>
  <x:si>
    <x:t xml:space="preserve">CBN-福州仓山-福厦高铁鸡笼山隧道C-HRRH-513，经度=119.307778，纬度=26.043889，方位角=170；CBN-福州晋安-站东路三环北路交叉西C-HRRH-512，经度=119.307778，纬度=26.043889，方位角=170；CBN-福州仓山-福厦高铁鸡笼山隧道C-HRRH-512，经度=119.307778，纬度=26.043889，方位角=170</x:t>
  </x:si>
  <x:si>
    <x:t xml:space="preserve">确认一下CBN-福州晋安-东浦新村4号楼C-HRHH-512、CBN-福州晋安-东浦新村4号楼C-HRHH-514和深圳大梅沙D-HRH-3这三个小区的站点名称、小区标识和电子下倾角。</x:t>
  </x:si>
  <x:si>
    <x:t xml:space="preserve">{
  "entityNames": [
    "CBN-福州晋安-东浦新村4号楼C-HRHH-512",
    "CBN-福州晋安-东浦新村4号楼C-HRHH-514",
    "深圳大梅沙D-HRH-3"
  ],
  "dataPath": null,
  "dimension": "CELL",
  "ratTypes": [],
  "fields": [
    "站点名称",
    "小区标识",
    "电子下倾角"
  ],
  "filters": null
}</x:t>
  </x:si>
  <x:si>
    <x:t xml:space="preserve">CBN-福州晋安-东浦新村4号楼C-HRHH-512，站点名称=CBN-福州晋安-东浦新村4号楼C-HRHH，小区标识=512，电子下倾角=6；CBN-福州晋安-东浦新村4号楼C-HRHH-514，站点名称=CBN-福州晋安-东浦新村4号楼C-HRHH，小区标识=514，电子下倾角=6；CBN-福州晋安-东浦新村4号楼C-HRHH-512，站点名称=CBN-福州马尾-高铁鼓山1号隧道出口（左侧）C-HRRH，小区标识=512，电子下倾角=6；深圳大梅沙D-HRH-3，站点名称=深圳大梅沙D-HRH，小区标识=3，电子下倾角=0</x:t>
  </x:si>
  <x:si>
    <x:t xml:space="preserve">Level3</x:t>
  </x:si>
  <x:si>
    <x:t xml:space="preserve">单站点5G工参查询</x:t>
  </x:si>
  <x:si>
    <x:t xml:space="preserve">帮我查一下CBN-深圳大梅沙U-H5H站点下5G小区的小区名称、基站标识和方位角。</x:t>
  </x:si>
  <x:si>
    <x:t xml:space="preserve">{
  "entityNames": [
    "CBN-深圳大梅沙U-H5H"
  ],
  "dataPath": null,
  "dimension": "CELL",
  "ratTypes": [
    "NR"
  ],
  "fields": [
    "小区名称",
    "基站标识",
    "方位角"
  ],
  "filters": null
}</x:t>
  </x:si>
  <x:si>
    <x:t xml:space="preserve">CBN-深圳大梅沙U-H5H-0711，小区名称=CBN-深圳大梅沙U-H5H-0711，基站标识=12706280，方位角=0；CBN-深圳大梅沙U-H5H-0712，小区名称=CBN-深圳大梅沙U-H5H-0712，基站标识=12706280，方位角=150；CBN-深圳大梅沙U-H5H-0713，小区名称=CBN-深圳大梅沙U-H5H-0713，基站标识=12706280，方位角=240</x:t>
  </x:si>
  <x:si>
    <x:t xml:space="preserve">单小区NR工参查询</x:t>
  </x:si>
  <x:si>
    <x:t xml:space="preserve">看一下深圳大梅沙二[深圳大梅沙二D-HRH]C-HRH-3这个NR小区的机械下倾角、电子下倾角和天线高度。</x:t>
  </x:si>
  <x:si>
    <x:t xml:space="preserve">{
  "entityNames": [
    "深圳大梅沙二[深圳大梅沙二D-HRH]C-HRH-3"
  ],
  "dataPath": null,
  "dimension": "CELL",
  "ratTypes": [
    "NR"
  ],
  "fields": [
    "机械下倾角",
    "电子下倾角",
    "天线高度"
  ],
  "filters": null
}</x:t>
  </x:si>
  <x:si>
    <x:t xml:space="preserve">深圳大梅沙二[深圳大梅沙二D-HRH]C-HRH-3，机械下倾角=10，电子下倾角=0，天线高度=28</x:t>
  </x:si>
  <x:si>
    <x:t xml:space="preserve">多站点5G工参查询</x:t>
  </x:si>
  <x:si>
    <x:t xml:space="preserve">查询CBN-福州晋安-站东路三环北路交叉西C-HRRH和深圳东海岸三D-HRH这两个站点下5G小区的纬度、经度和设备厂商。</x:t>
  </x:si>
  <x:si>
    <x:t xml:space="preserve">{
  "entityNames": [
    "CBN-福州晋安-站东路三环北路交叉西C-HRRH",
    "深圳东海岸三D-HRH"
  ],
  "dataPath": null,
  "dimension": "CELL",
  "ratTypes": [
    "NR"
  ],
  "fields": [
    "纬度",
    "经度",
    "设备厂商"
  ],
  "filters": null
}</x:t>
  </x:si>
  <x:si>
    <x:t xml:space="preserve">CBN-福州晋安-站东路三环北路交叉西C-HRRH-512，纬度=26.043889，经度=119.307778，设备厂商=Huawei；深圳东海岸三D-HRH-3，纬度=22.6075，经度=114.2987，设备厂商=Huawei；深圳东海岸三D-HRH-2，纬度=22.6075，经度=114.2987，设备厂商=Huawei；深圳东海岸三D-HRH-1，纬度=22.6075，经度=114.2987，设备厂商=Huawei</x:t>
  </x:si>
  <x:si>
    <x:t xml:space="preserve">多小区NR工参查询</x:t>
  </x:si>
  <x:si>
    <x:t xml:space="preserve">找出CBN-福州仓山-福州火车南站C-HRHH-521和CBN-福州晋安-东浦新村4号楼C-HRHH-513这两个NR小区的方向角、移动国家码和站点名称。</x:t>
  </x:si>
  <x:si>
    <x:t xml:space="preserve">{
  "entityNames": [
    "CBN-福州仓山-福州火车南站C-HRHH-521",
    "CBN-福州晋安-东浦新村4号楼C-HRHH-513"
  ],
  "dataPath": null,
  "dimension": "CELL",
  "ratTypes": [
    "NR"
  ],
  "fields": [
    "方向角",
    "移动国家码",
    "站点名称"
  ],
  "filters": null
}</x:t>
  </x:si>
  <x:si>
    <x:t xml:space="preserve">CBN-福州晋安-东浦新村4号楼C-HRHH-513，方位角=170，移动国家码=460，站点名称=CBN-福州晋安-东浦新村4号楼C-HRHH；CBN-福州仓山-福州火车南站C-HRHH-521，方位角=170，移动国家码=460，站点名称=CBN-福州仓山-火车南站西广场南侧高架桥旁C-HRHH</x:t>
  </x:si>
  <x:si>
    <x:t xml:space="preserve">确认一下CBN-深圳梅沙湾二U-H5H站点下5G小区的CGI、小区标识和机械下倾角。</x:t>
  </x:si>
  <x:si>
    <x:t xml:space="preserve">{
  "entityNames": [
    "CBN-深圳梅沙湾二U-H5H"
  ],
  "dataPath": null,
  "dimension": "CELL",
  "ratTypes": [
    "NR"
  ],
  "fields": [
    "CGI",
    "小区标识",
    "机械下倾角"
  ],
  "filters": null
}</x:t>
  </x:si>
  <x:si>
    <x:t xml:space="preserve">CBN-深圳梅沙湾二U-H5H-0711，CGI=460-00-12725381-51，小区标识=51，机械下倾角=4；CBN-深圳梅沙湾二U-H5H-0712，CGI=460-00-12725381-52，小区标识=52，机械下倾角=4；CBN-深圳梅沙湾二U-H5H-0713，CGI=460-00-12725381-53，小区标识=53，机械下倾角=6</x:t>
  </x:si>
  <x:si>
    <x:t xml:space="preserve">Level4</x:t>
  </x:si>
  <x:si>
    <x:t xml:space="preserve">单站点+单条件过滤+多字段返回</x:t>
  </x:si>
  <x:si>
    <x:t xml:space="preserve">帮我查一下CBN-深圳梅沙湾U-H5H站点下天线高度大于30米的小区，返回小区名称、天线高度和方位角。</x:t>
  </x:si>
  <x:si>
    <x:t xml:space="preserve">{
  "entityNames": [
    "CBN-深圳梅沙湾U-H5H"
  ],
  "dataPath": null,
  "dimension": "CELL",
  "ratTypes": [],
  "fields": [
    "小区名称",
    "天线高度",
    "方位角"
  ],
  "filters": {
    "and": [
      {
        "field": "天线高度",
        "operator": "GT",
        "values": [
          "30"
        ]
      }
    ]
  }
}</x:t>
  </x:si>
  <x:si>
    <x:t xml:space="preserve">无匹配数据</x:t>
  </x:si>
  <x:si>
    <x:t xml:space="preserve">多小区+范围过滤+制式过滤</x:t>
  </x:si>
  <x:si>
    <x:t xml:space="preserve">找出深圳奥特莱斯D-HRW-1和深圳奥特莱斯D-HRH-2这两个5G小区中，机械下倾角在3到9之间的小区名称、机械下倾角和电子下倾角。</x:t>
  </x:si>
  <x:si>
    <x:t xml:space="preserve">{
  "entityNames": [
    "深圳奥特莱斯D-HRW-1",
    "深圳奥特莱斯D-HRH-2"
  ],
  "dataPath": null,
  "dimension": "CELL",
  "ratTypes": [
    "NR"
  ],
  "fields": [
    "小区名称",
    "机械下倾角",
    "电子下倾角"
  ],
  "filters": {
    "and": [
      {
        "field": "机械下倾角",
        "operator": "GE",
        "values": [
          "3"
        ]
      },
      {
        "field": "机械下倾角",
        "operator": "LE",
        "values": [
          "9"
        ]
      }
    ]
  }
}</x:t>
  </x:si>
  <x:si>
    <x:t xml:space="preserve">深圳奥特莱斯D-HRH-2，小区名称=深圳奥特莱斯D-HRH-2，机械下倾角=4，电子下倾角=0</x:t>
  </x:si>
  <x:si>
    <x:t xml:space="preserve">单站点+多条件AND过滤</x:t>
  </x:si>
  <x:si>
    <x:t xml:space="preserve">看一下CBN-福州晋安-东浦新村4号楼C-HRHH站点下，方位角等于90且电子下倾角不超过6的小区，返回小区名称、方位角和电子下倾角。</x:t>
  </x:si>
  <x:si>
    <x:t xml:space="preserve">{
  "entityNames": [
    "CBN-福州晋安-东浦新村4号楼C-HRHH"
  ],
  "dataPath": null,
  "dimension": "CELL",
  "ratTypes": [],
  "fields": [
    "小区名称",
    "方位角",
    "电子下倾角"
  ],
  "filters": {
    "and": [
      {
        "field": "方位角",
        "operator": "EQ",
        "values": [
          "90"
        ]
      },
      {
        "field": "电子下倾角",
        "operator": "LE",
        "values": [
          "6"
        ]
      }
    ]
  }
}</x:t>
  </x:si>
  <x:si>
    <x:t xml:space="preserve">多站点+IN条件过滤</x:t>
  </x:si>
  <x:si>
    <x:t xml:space="preserve">帮我筛一下深圳东海岸三D-HRH和深圳大梅沙海滨公园D-HRW-1这两个站点下，天线高度为20或25米的小区，返回小区名称、天线高度和站点名称。</x:t>
  </x:si>
  <x:si>
    <x:t xml:space="preserve">{
  "entityNames": [
    "深圳东海岸三D-HRH",
    "深圳大梅沙海滨公园D-HRW-1"
  ],
  "dataPath": null,
  "dimension": "CELL",
  "ratTypes": [],
  "fields": [
    "小区名称",
    "天线高度",
    "站点名称"
  ],
  "filters": {
    "and": [
      {
        "field": "天线高度",
        "operator": "IN",
        "values": [
          "20",
          "25"
        ]
      }
    ]
  }
}</x:t>
  </x:si>
  <x:si>
    <x:t xml:space="preserve">单小区+NEQ条件过滤</x:t>
  </x:si>
  <x:si>
    <x:t xml:space="preserve">确认一下CBN-深圳大梅沙二U-H5H-0711这个NR小区，如果方位角不是180度，返回它的小区名称、方位角和经度。</x:t>
  </x:si>
  <x:si>
    <x:t xml:space="preserve">{
  "entityNames": [
    "CBN-深圳大梅沙二U-H5H-0711"
  ],
  "dataPath": null,
  "dimension": "CELL",
  "ratTypes": [
    "NR"
  ],
  "fields": [
    "小区名称",
    "方位角",
    "经度"
  ],
  "filters": {
    "and": [
      {
        "field": "方位角",
        "operator": "NEQ",
        "values": [
          "180"
        ]
      }
    ]
  }
}</x:t>
  </x:si>
  <x:si>
    <x:t xml:space="preserve">CBN-深圳大梅沙二U-H5H-0711，小区名称=CBN-深圳大梅沙二U-H5H-0711，方位角=120，经度=114.302222</x:t>
  </x:si>
  <x:si>
    <x:t xml:space="preserve">帮我查一下 CBN-福州仓山-永南路与站后路交叉口C-HRHH-515 小区的方位角和机械下倾角。</x:t>
  </x:si>
  <x:si>
    <x:t xml:space="preserve">{
  "entityNames": [
    "CBN-福州仓山-永南路与站后路交叉口C-HRHH-515"
  ],
  "dataPath": null,
  "dimension": "CELL",
  "ratTypes": [],
  "fields": [
    "方位角",
    "机械下倾角"
  ],
  "filters": null
}</x:t>
  </x:si>
  <x:si>
    <x:t xml:space="preserve">CBN-福州仓山-永南路与站后路交叉口C-HRHH-515，方位角=170，机械下倾角=6</x:t>
  </x:si>
  <x:si>
    <x:t xml:space="preserve">看一下深圳大梅沙D-HRH 站点下小区的经度和纬度。</x:t>
  </x:si>
  <x:si>
    <x:t xml:space="preserve">{
  "entityNames": [
    "深圳大梅沙D-HRH"
  ],
  "dataPath": null,
  "dimension": "CELL",
  "ratTypes": [],
  "fields": [
    "经度",
    "纬度"
  ],
  "filters": null
}</x:t>
  </x:si>
  <x:si>
    <x:t xml:space="preserve">深圳大梅沙D-HRH-3，经度=114.3056，纬度=22.6027；深圳大梅沙D-HRH-2，经度=114.3056，纬度=22.6027；深圳大梅沙D-HRH-1，经度=114.3056，纬度=22.6027</x:t>
  </x:si>
  <x:si>
    <x:t xml:space="preserve">确认一下 CBN-深圳东华风车U-H5H-0711 小区的基站标识和小区名称。</x:t>
  </x:si>
  <x:si>
    <x:t xml:space="preserve">{
  "entityNames": [
    "CBN-深圳东华风车U-H5H-0711"
  ],
  "dataPath": null,
  "dimension": "CELL",
  "ratTypes": [],
  "fields": [
    "基站标识",
    "小区名称"
  ],
  "filters": null
}</x:t>
  </x:si>
  <x:si>
    <x:t xml:space="preserve">CBN-深圳东华风车U-H5H-0711，基站标识=12712345，小区名称=CBN-深圳东华风车U-H5H-0711</x:t>
  </x:si>
  <x:si>
    <x:t xml:space="preserve">找出 CBN-福州晋安-福厦高铁鼓山鼓一隧道C-HRRH-513 小区的方向角。</x:t>
  </x:si>
  <x:si>
    <x:t xml:space="preserve">{
  "entityNames": [
    "CBN-福州晋安-福厦高铁鼓山鼓一隧道C-HRRH-513"
  ],
  "dataPath": null,
  "dimension": "CELL",
  "ratTypes": [],
  "fields": [
    "方向角"
  ],
  "filters": null
}</x:t>
  </x:si>
  <x:si>
    <x:t xml:space="preserve">CBN-福州晋安-福厦高铁鼓山鼓一隧道C-HRRH-513，方位角=170</x:t>
  </x:si>
  <x:si>
    <x:t xml:space="preserve">单站点查询多字段</x:t>
  </x:si>
  <x:si>
    <x:t xml:space="preserve">帮我查 CBN-深圳梅沙湾U-H5H 站点下小区的站点名称、方位角和机械下倾角。</x:t>
  </x:si>
  <x:si>
    <x:t xml:space="preserve">{
  "entityNames": [
    "CBN-深圳梅沙湾U-H5H"
  ],
  "dataPath": null,
  "dimension": "CELL",
  "ratTypes": [],
  "fields": [
    "站点名称",
    "方位角",
    "机械下倾角"
  ],
  "filters": null
}</x:t>
  </x:si>
  <x:si>
    <x:t xml:space="preserve">CBN-深圳梅沙湾U-H5H-0711，站点名称=CBN-深圳梅沙湾U-H5H，方位角=30，机械下倾角=8；CBN-深圳梅沙湾U-H5H-0712，站点名称=CBN-深圳梅沙湾U-H5H，方位角=200，机械下倾角=2；CBN-深圳梅沙湾U-H5H-0713，站点名称=CBN-深圳梅沙湾U-H5H，方位角=330，机械下倾角=4</x:t>
  </x:si>
  <x:si>
    <x:t xml:space="preserve">帮我查一下 CBN-福州仓山-火车南站西广场南侧高架桥旁C-HRHH-513 和 CBN-福州晋安-站东路三环北路交叉西C-HRRH-512 这两个小区的经度、纬度和方位角。</x:t>
  </x:si>
  <x:si>
    <x:t xml:space="preserve">{
  "entityNames": [
    "CBN-福州仓山-火车南站西广场南侧高架桥旁C-HRHH-513",
    "CBN-福州晋安-站东路三环北路交叉西C-HRRH-512"
  ],
  "dataPath": null,
  "dimension": "CELL",
  "ratTypes": [],
  "fields": [
    "经度",
    "纬度",
    "方位角"
  ],
  "filters": null
}</x:t>
  </x:si>
  <x:si>
    <x:t xml:space="preserve">CBN-福州晋安-站东路三环北路交叉西C-HRRH-512，经度=119.307778，纬度=26.043889，方位角=170；CBN-福州仓山-火车南站西广场南侧高架桥旁C-HRHH-513，经度=119.307778，纬度=26.043889，方位角=170</x:t>
  </x:si>
  <x:si>
    <x:t xml:space="preserve">看一下深圳奥特莱斯D-HRH 和 深圳上威梅沙二D-HRH 这两个站点下小区的天线高度和电子下倾角。</x:t>
  </x:si>
  <x:si>
    <x:t xml:space="preserve">{
  "entityNames": [
    "深圳奥特莱斯D-HRH",
    "深圳上威梅沙二D-HRH"
  ],
  "dataPath": null,
  "dimension": "CELL",
  "ratTypes": [],
  "fields": [
    "天线高度",
    "电子下倾角"
  ],
  "filters": null
}</x:t>
  </x:si>
  <x:si>
    <x:t xml:space="preserve">深圳上威梅沙二D-HRH-2，天线高度=73，电子下倾角=0；深圳上威梅沙二D-HRH-1，天线高度=70，电子下倾角=0；深圳奥特莱斯D-HRH-3，天线高度=23，电子下倾角=0；深圳奥特莱斯D-HRH-2，天线高度=23，电子下倾角=0；深圳奥特莱斯D-HRH-1，天线高度=23，电子下倾角=0</x:t>
  </x:si>
  <x:si>
    <x:t xml:space="preserve">多小区单字段查询</x:t>
  </x:si>
  <x:si>
    <x:t xml:space="preserve">找出 CBN-深圳大梅沙二U-H5H-0711、CBN-深圳盐梅路一U-H5H-0712 和 CBN-深圳东海岸三[CBN-深圳天麓八区U-H5H]U-H5H-0711 这三个小区的站点名称。</x:t>
  </x:si>
  <x:si>
    <x:t xml:space="preserve">{
  "entityNames": [
    "CBN-深圳大梅沙二U-H5H-0711",
    "CBN-深圳盐梅路一U-H5H-0712",
    "CBN-深圳东海岸三[CBN-深圳天麓八区U-H5H]U-H5H-0711"
  ],
  "dataPath": null,
  "dimension": "CELL",
  "ratTypes": [],
  "fields": [
    "站点名称"
  ],
  "filters": null
}</x:t>
  </x:si>
  <x:si>
    <x:t xml:space="preserve">CBN-深圳盐梅路一U-H5H-0712，站点名称=CBN-深圳盐梅路一U-H5H；CBN-深圳大梅沙二U-H5H-0711，站点名称=CBN-深圳大梅沙二U-H5H；CBN-深圳东海岸三[CBN-深圳天麓八区U-H5H]U-H5H-0711，站点名称=CBN-深圳天麓八区U-H5H</x:t>
  </x:si>
  <x:si>
    <x:t xml:space="preserve">对比一下 CBN-福州晋安-东浦新村4号楼C-HRHH-513 和 CBN-福州晋安-东浦新村4号楼C-HRHH-514 这两个小区的设备厂商和小区名称。</x:t>
  </x:si>
  <x:si>
    <x:t xml:space="preserve">{
  "entityNames": [
    "CBN-福州晋安-东浦新村4号楼C-HRHH-513",
    "CBN-福州晋安-东浦新村4号楼C-HRHH-514"
  ],
  "dataPath": null,
  "dimension": "CELL",
  "ratTypes": [],
  "fields": [
    "设备厂商",
    "小区名称"
  ],
  "filters": null
}</x:t>
  </x:si>
  <x:si>
    <x:t xml:space="preserve">CBN-福州晋安-东浦新村4号楼C-HRHH-513，设备厂商=Huawei，小区名称=CBN-福州晋安-东浦新村4号楼C-HRHH-513；CBN-福州晋安-东浦新村4号楼C-HRHH-514，设备厂商=Huawei，小区名称=CBN-福州晋安-东浦新村4号楼C-HRHH-514</x:t>
  </x:si>
  <x:si>
    <x:t xml:space="preserve">确认一下 CBN-福州仓山-福州南站火车南站西北美化塔C-HRRH 和 CBN-深圳大梅沙U-H5H 这两个站点下小区的方位角和天线高度。</x:t>
  </x:si>
  <x:si>
    <x:t xml:space="preserve">{
  "entityNames": [
    "CBN-福州仓山-福州南站火车南站西北美化塔C-HRRH",
    "CBN-深圳大梅沙U-H5H"
  ],
  "dataPath": null,
  "dimension": "CELL",
  "ratTypes": [],
  "fields": [
    "方位角",
    "天线高度"
  ],
  "filters": null
}</x:t>
  </x:si>
  <x:si>
    <x:t xml:space="preserve">CBN-福州仓山-福州南站火车南站西北美化塔C-HRRH-512，方位角=170，天线高度=25；CBN-深圳大梅沙U-H5H-0711，方位角=0，天线高度=42；CBN-深圳大梅沙U-H5H-0712，方位角=150，天线高度=53；CBN-深圳大梅沙U-H5H-0713，方位角=240，天线高度=42</x:t>
  </x:si>
  <x:si>
    <x:t xml:space="preserve">帮我查一下深圳大梅沙D-HRH站点下5G小区的小区名称和方位角。</x:t>
  </x:si>
  <x:si>
    <x:t xml:space="preserve">{
  "entityNames": [
    "深圳大梅沙D-HRH"
  ],
  "dataPath": null,
  "dimension": "CELL",
  "ratTypes": [
    "NR"
  ],
  "fields": [
    "小区名称",
    "方位角"
  ],
  "filters": null
}</x:t>
  </x:si>
  <x:si>
    <x:t xml:space="preserve">深圳大梅沙D-HRH-3，小区名称=深圳大梅沙D-HRH-3，方位角=240；深圳大梅沙D-HRH-2，小区名称=深圳大梅沙D-HRH-2，方位角=150；深圳大梅沙D-HRH-1，小区名称=深圳大梅沙D-HRH-1，方位角=0</x:t>
  </x:si>
  <x:si>
    <x:t xml:space="preserve">看一下CBN-深圳大梅沙二U-H5H-0712这个NR小区的机械下倾角和电子下倾角。</x:t>
  </x:si>
  <x:si>
    <x:t xml:space="preserve">{
  "entityNames": [
    "CBN-深圳大梅沙二U-H5H-0712"
  ],
  "dataPath": null,
  "dimension": "CELL",
  "ratTypes": [
    "NR"
  ],
  "fields": [
    "机械下倾角",
    "电子下倾角"
  ],
  "filters": null
}</x:t>
  </x:si>
  <x:si>
    <x:t xml:space="preserve">CBN-深圳大梅沙二U-H5H-0712，机械下倾角=3，电子下倾角=2</x:t>
  </x:si>
  <x:si>
    <x:t xml:space="preserve">找出深圳奥特莱斯D-HRH和深圳梅沙湾二D-HRH这两个站点下5G小区的站点名称、经度和纬度。</x:t>
  </x:si>
  <x:si>
    <x:t xml:space="preserve">{
  "entityNames": [
    "深圳奥特莱斯D-HRH",
    "深圳梅沙湾二D-HRH"
  ],
  "dataPath": null,
  "dimension": "CELL",
  "ratTypes": [
    "NR"
  ],
  "fields": [
    "站点名称",
    "经度",
    "纬度"
  ],
  "filters": null
}</x:t>
  </x:si>
  <x:si>
    <x:t xml:space="preserve">深圳奥特莱斯D-HRH-3，站点名称=深圳奥特莱斯D-HRH，经度=114.3048，纬度=22.6007；深圳奥特莱斯D-HRH-2，站点名称=深圳奥特莱斯D-HRH，经度=114.3048，纬度=22.6007；深圳奥特莱斯D-HRH-1，站点名称=深圳奥特莱斯D-HRH，经度=114.3048，纬度=22.6007；深圳梅沙湾二D-HRH-3，站点名称=深圳梅沙湾二D-HRH，经度=114.3004，纬度=22.5947；深圳梅沙湾二D-HRH-2，站点名称=深圳梅沙湾二D-HRH，经度=114.3004，纬度=22.5947；深圳梅沙湾二D-HRH-1，站点名称=深圳梅沙湾二D-HRH，经度=114.3004，纬度=22.5947</x:t>
  </x:si>
  <x:si>
    <x:t xml:space="preserve">单小区5G工参查询</x:t>
  </x:si>
  <x:si>
    <x:t xml:space="preserve">确认一下CBN-福州仓山-福州火车南站C-HRHH-521这个5G小区的小区标识和移动网号。</x:t>
  </x:si>
  <x:si>
    <x:t xml:space="preserve">{
  "entityNames": [
    "CBN-福州仓山-福州火车南站C-HRHH-521"
  ],
  "dataPath": null,
  "dimension": "CELL",
  "ratTypes": [
    "NR"
  ],
  "fields": [
    "小区标识",
    "移动网号"
  ],
  "filters": null
}</x:t>
  </x:si>
  <x:si>
    <x:t xml:space="preserve">CBN-福州仓山-福州火车南站C-HRHH-521，小区标识=521，移动网号='00</x:t>
  </x:si>
  <x:si>
    <x:t xml:space="preserve">帮我查CBN-深圳上威梅沙二U-H5H-0711和CBN-深圳东华风车U-H5H-0711这两个NR小区的方向角和天线高度。</x:t>
  </x:si>
  <x:si>
    <x:t xml:space="preserve">{
  "entityNames": [
    "CBN-深圳上威梅沙二U-H5H-0711",
    "CBN-深圳东华风车U-H5H-0711"
  ],
  "dataPath": null,
  "dimension": "CELL",
  "ratTypes": [
    "NR"
  ],
  "fields": [
    "方向角",
    "天线高度"
  ],
  "filters": null
}</x:t>
  </x:si>
  <x:si>
    <x:t xml:space="preserve">CBN-深圳上威梅沙二U-H5H-0711，方位角=100，天线高度=70；CBN-深圳东华风车U-H5H-0711，方位角=170，天线高度=4</x:t>
  </x:si>
  <x:si>
    <x:t xml:space="preserve">帮我查一下深圳大梅沙海滨公园D-HRW站点下，天线高度超过30米的小区，返回小区名称、天线高度和方位角。</x:t>
  </x:si>
  <x:si>
    <x:t xml:space="preserve">{
  "entityNames": [
    "深圳大梅沙海滨公园D-HRW"
  ],
  "dataPath": null,
  "dimension": "CELL",
  "ratTypes": [],
  "fields": [
    "小区名称",
    "天线高度",
    "方位角"
  ],
  "filters": {
    "and": [
      {
        "field": "天线高度",
        "operator": "GT",
        "values": [
          "30"
        ]
      }
    ]
  }
}</x:t>
  </x:si>
  <x:si>
    <x:t xml:space="preserve">多小区+范围条件过滤+制式过滤</x:t>
  </x:si>
  <x:si>
    <x:t xml:space="preserve">找出CBN-福州仓山-火车南站东南美化塔C-HRHH-518和CBN-福州仓山-福厦高铁鸡笼山隧道C-HRRH-513这两个5G小区中，机械下倾角在3到9之间的小区名称和机械下倾角。</x:t>
  </x:si>
  <x:si>
    <x:t xml:space="preserve">{
  "entityNames": [
    "CBN-福州仓山-火车南站东南美化塔C-HRHH-518",
    "CBN-福州仓山-福厦高铁鸡笼山隧道C-HRRH-513"
  ],
  "dataPath": null,
  "dimension": "CELL",
  "ratTypes": [
    "NR"
  ],
  "fields": [
    "小区名称",
    "机械下倾角"
  ],
  "filters": {
    "and": [
      {
        "field": "机械下倾角",
        "operator": "GE",
        "values": [
          "3"
        ]
      },
      {
        "field": "机械下倾角",
        "operator": "LE",
        "values": [
          "9"
        ]
      }
    ]
  }
}</x:t>
  </x:si>
  <x:si>
    <x:t xml:space="preserve">CBN-福州仓山-火车南站东南美化塔C-HRHH-518，小区名称=CBN-福州仓山-火车南站东南美化塔C-HRHH-518，机械下倾角=6；CBN-福州仓山-福厦高铁鸡笼山隧道C-HRRH-513，小区名称=CBN-福州仓山-福厦高铁鸡笼山隧道C-HRRH-513，机械下倾角=6</x:t>
  </x:si>
  <x:si>
    <x:t xml:space="preserve">单小区+多条件AND过滤+字段返回</x:t>
  </x:si>
  <x:si>
    <x:t xml:space="preserve">确认一下CBN-深圳梅沙湾U-H5H-0712小区，如果方位角等于180且电子下倾角不低于6，返回它的站点名称、方位角和电子下倾角。</x:t>
  </x:si>
  <x:si>
    <x:t xml:space="preserve">{
  "entityNames": [
    "CBN-深圳梅沙湾U-H5H-0712"
  ],
  "dataPath": null,
  "dimension": "CELL",
  "ratTypes": [],
  "fields": [
    "站点名称",
    "方位角",
    "电子下倾角"
  ],
  "filters": {
    "and": [
      {
        "field": "方位角",
        "operator": "EQ",
        "values": [
          "180"
        ]
      },
      {
        "field": "电子下倾角",
        "operator": "GE",
        "values": [
          "6"
        ]
      }
    ]
  }
}</x:t>
  </x:si>
  <x:si>
    <x:t xml:space="preserve">多站点+IN条件过滤+NR制式</x:t>
  </x:si>
  <x:si>
    <x:t xml:space="preserve">看一下深圳东海岸三D-HRH和深圳奥特莱斯D-HRH这两个站点下，NR制式中方位角为90或270的小区，返回小区名称和方位角。</x:t>
  </x:si>
  <x:si>
    <x:t xml:space="preserve">{
  "entityNames": [
    "深圳东海岸三D-HRH",
    "深圳奥特莱斯D-HRH"
  ],
  "dataPath": null,
  "dimension": "CELL",
  "ratTypes": [
    "NR"
  ],
  "fields": [
    "小区名称",
    "方位角"
  ],
  "filters": {
    "and": [
      {
        "field": "方位角",
        "operator": "IN",
        "values": [
          "90",
          "270"
        ]
      }
    ]
  }
}</x:t>
  </x:si>
  <x:si>
    <x:t xml:space="preserve">单小区+NEQ条件过滤+基础字段</x:t>
  </x:si>
  <x:si>
    <x:t xml:space="preserve">帮我筛一下CBN-福州晋安-东浦新村4号楼C-HRHH-512小区，排除掉天线高度等于20米的情况，返回小区名称、天线高度和经度。</x:t>
  </x:si>
  <x:si>
    <x:t xml:space="preserve">{
  "entityNames": [
    "CBN-福州晋安-东浦新村4号楼C-HRHH-512"
  ],
  "dataPath": null,
  "dimension": "CELL",
  "ratTypes": [],
  "fields": [
    "小区名称",
    "天线高度",
    "经度"
  ],
  "filters": {
    "and": [
      {
        "field": "天线高度",
        "operator": "NEQ",
        "values": [
          "20"
        ]
      }
    ]
  }
}</x:t>
  </x:si>
  <x:si>
    <x:t xml:space="preserve">CBN-福州晋安-东浦新村4号楼C-HRHH-512，小区名称=CBN-福州晋安-东浦新村4号楼C-HRHH-512，天线高度=25，经度=119.307778；CBN-福州晋安-东浦新村4号楼C-HRHH-512，小区名称=CBN-福州晋安-东浦新村4号楼C-HRHH-512，天线高度=25，经度=119.307778</x:t>
  </x:si>
  <x:si>
    <x:t xml:space="preserve">单小区查方位角和天线高度</x:t>
  </x:si>
  <x:si>
    <x:t xml:space="preserve">帮我查一下深圳奥特莱斯D-HRH-1小区的方位角和天线高度。</x:t>
  </x:si>
  <x:si>
    <x:t xml:space="preserve">{
  "entityNames": [
    "深圳奥特莱斯D-HRH-1"
  ],
  "dataPath": null,
  "dimension": "CELL",
  "ratTypes": [],
  "fields": [
    "方位角",
    "天线高度"
  ],
  "filters": null
}</x:t>
  </x:si>
  <x:si>
    <x:t xml:space="preserve">深圳奥特莱斯D-HRH-1，方位角=120，天线高度=23</x:t>
  </x:si>
  <x:si>
    <x:t xml:space="preserve">单站点查小区名称和经度</x:t>
  </x:si>
  <x:si>
    <x:t xml:space="preserve">看一下CBN-深圳梅沙湾二U-H5H站点下的小区名称和经度。</x:t>
  </x:si>
  <x:si>
    <x:t xml:space="preserve">{
  "entityNames": [
    "CBN-深圳梅沙湾二U-H5H"
  ],
  "dataPath": null,
  "dimension": "CELL",
  "ratTypes": [],
  "fields": [
    "小区名称",
    "经度"
  ],
  "filters": null
}</x:t>
  </x:si>
  <x:si>
    <x:t xml:space="preserve">CBN-深圳梅沙湾二U-H5H-0711，小区名称=CBN-深圳梅沙湾二U-H5H-0711，经度=114.3004；CBN-深圳梅沙湾二U-H5H-0712，小区名称=CBN-深圳梅沙湾二U-H5H-0712，经度=114.3004；CBN-深圳梅沙湾二U-H5H-0713，小区名称=CBN-深圳梅沙湾二U-H5H-0713，经度=114.3004</x:t>
  </x:si>
  <x:si>
    <x:t xml:space="preserve">单小区查电子下倾角和基站标识</x:t>
  </x:si>
  <x:si>
    <x:t xml:space="preserve">确认一下CBN-福州晋安-东浦新村4号楼C-HRHH-513这个小区的电子下倾角和基站标识是多少。</x:t>
  </x:si>
  <x:si>
    <x:t xml:space="preserve">{
  "entityNames": [
    "CBN-福州晋安-东浦新村4号楼C-HRHH-513"
  ],
  "dataPath": null,
  "dimension": "CELL",
  "ratTypes": [],
  "fields": [
    "电子下倾角",
    "基站标识"
  ],
  "filters": null
}</x:t>
  </x:si>
  <x:si>
    <x:t xml:space="preserve">CBN-福州晋安-东浦新村4号楼C-HRHH-513，电子下倾角=6，基站标识=2143919</x:t>
  </x:si>
  <x:si>
    <x:t xml:space="preserve">单小区查CGI和站点名称</x:t>
  </x:si>
  <x:si>
    <x:t xml:space="preserve">找出深圳大梅沙D-HRH-1小区的CGI和站点名称。</x:t>
  </x:si>
  <x:si>
    <x:t xml:space="preserve">{
  "entityNames": [
    "深圳大梅沙D-HRH-1"
  ],
  "dataPath": null,
  "dimension": "CELL",
  "ratTypes": [],
  "fields": [
    "CGI",
    "站点名称"
  ],
  "filters": null
}</x:t>
  </x:si>
  <x:si>
    <x:t xml:space="preserve">深圳大梅沙D-HRH-1，CGI=460-00-12592429-1，站点名称=深圳大梅沙D-HRH</x:t>
  </x:si>
  <x:si>
    <x:t xml:space="preserve">单站点查方位角和移动网号</x:t>
  </x:si>
  <x:si>
    <x:t xml:space="preserve">帮我查一下深圳东华风车D-HRH站点下小区的方位角和移动网号。</x:t>
  </x:si>
  <x:si>
    <x:t xml:space="preserve">{
  "entityNames": [
    "深圳东华风车D-HRH"
  ],
  "dataPath": null,
  "dimension": "CELL",
  "ratTypes": [],
  "fields": [
    "方位角",
    "移动网号"
  ],
  "filters": null
}</x:t>
  </x:si>
  <x:si>
    <x:t xml:space="preserve">深圳东华风车D-HRH-1，方位角=170，移动网号='00</x:t>
  </x:si>
  <x:si>
    <x:t xml:space="preserve">帮我查一下深圳梅沙湾D-HRH-3和深圳梅沙湾二D-HRH-1这两个小区的方位角、电子下倾角以及设备厂商。</x:t>
  </x:si>
  <x:si>
    <x:t xml:space="preserve">{
  "entityNames": [
    "深圳梅沙湾D-HRH-3",
    "深圳梅沙湾二D-HRH-1"
  ],
  "dataPath": null,
  "dimension": "CELL",
  "ratTypes": [],
  "fields": [
    "方位角",
    "电子下倾角",
    "设备厂商"
  ],
  "filters": null
}</x:t>
  </x:si>
  <x:si>
    <x:t xml:space="preserve">深圳梅沙湾二D-HRH-1，方位角=110，电子下倾角=0，设备厂商=Huawei；深圳梅沙湾D-HRH-3，方位角=200，电子下倾角=0，设备厂商=Huawei</x:t>
  </x:si>
  <x:si>
    <x:t xml:space="preserve">看一下CBN-深圳大梅沙U-H5H和深圳大梅沙二D-HRH这两个站点下小区的纬度、机械下倾角和小区标识。</x:t>
  </x:si>
  <x:si>
    <x:t xml:space="preserve">{
  "entityNames": [
    "CBN-深圳大梅沙U-H5H",
    "深圳大梅沙二D-HRH"
  ],
  "dataPath": null,
  "dimension": "CELL",
  "ratTypes": [],
  "fields": [
    "纬度",
    "机械下倾角",
    "小区标识"
  ],
  "filters": null
}</x:t>
  </x:si>
  <x:si>
    <x:t xml:space="preserve">CBN-深圳大梅沙U-H5H-0711，纬度=22.6027，机械下倾角=8，小区标识=51；CBN-深圳大梅沙U-H5H-0712，纬度=22.6027，机械下倾角=8，小区标识=52；CBN-深圳大梅沙U-H5H-0713，纬度=22.6027，机械下倾角=6，小区标识=53；深圳大梅沙二D-HRH-3，纬度=22.5972，机械下倾角=10，小区标识=3；深圳大梅沙二D-HRH-2，纬度=22.5972，机械下倾角=10，小区标识=2；深圳大梅沙二[深圳大梅沙二D-HRH]C-HRH-3，纬度=22.597222，机械下倾角=10，小区标识=6；深圳大梅沙二[深圳大梅沙二D-HRH]C-HRH-2，纬度=22.597222，机械下倾角=10，小区标识=5；深圳大梅沙二[深圳大梅沙二D-HRH]C-HRH-1，纬度=22.597222，机械下倾角=10，小区标识=4</x:t>
  </x:si>
  <x:si>
    <x:t xml:space="preserve">三小区多字段查询</x:t>
  </x:si>
  <x:si>
    <x:t xml:space="preserve">对比一下CBN-福州仓山-福厦高铁鸡笼山隧道C-HRRH-513、CBN-福州仓山-火车南站东南美化塔C-HRHH-518和CBN-福州仓山-永南路与站后路交叉口C-HRHH-516这三个小区的基站标识、移动网号和天线高度。</x:t>
  </x:si>
  <x:si>
    <x:t xml:space="preserve">{
  "entityNames": [
    "CBN-福州仓山-福厦高铁鸡笼山隧道C-HRRH-513",
    "CBN-福州仓山-火车南站东南美化塔C-HRHH-518",
    "CBN-福州仓山-永南路与站后路交叉口C-HRHH-516"
  ],
  "dataPath": null,
  "dimension": "CELL",
  "ratTypes": [],
  "fields": [
    "基站标识",
    "移动网号",
    "天线高度"
  ],
  "filters": null
}</x:t>
  </x:si>
  <x:si>
    <x:t xml:space="preserve">CBN-福州仓山-火车南站东南美化塔C-HRHH-518，基站标识=2143544，移动网号='00，天线高度=25；CBN-福州仓山-福厦高铁鸡笼山隧道C-HRRH-513，基站标识=2161406，移动网号='00，天线高度=25；CBN-福州仓山-永南路与站后路交叉口C-HRHH-516，基站标识=2143544，移动网号='00，天线高度=25</x:t>
  </x:si>
  <x:si>
    <x:t xml:space="preserve">多小区双字段查询</x:t>
  </x:si>
  <x:si>
    <x:t xml:space="preserve">找出深圳东海岸三D-HRH-1和深圳奥特莱斯D-HRH-3小区的经度和站点名称。</x:t>
  </x:si>
  <x:si>
    <x:t xml:space="preserve">{
  "entityNames": [
    "深圳东海岸三D-HRH-1",
    "深圳奥特莱斯D-HRH-3"
  ],
  "dataPath": null,
  "dimension": "CELL",
  "ratTypes": [],
  "fields": [
    "经度",
    "站点名称"
  ],
  "filters": null
}</x:t>
  </x:si>
  <x:si>
    <x:t xml:space="preserve">深圳奥特莱斯D-HRH-3，经度=114.3048，站点名称=深圳奥特莱斯D-HRH；深圳东海岸三D-HRH-1，经度=114.2987，站点名称=深圳东海岸三D-HRH</x:t>
  </x:si>
  <x:si>
    <x:t xml:space="preserve">确认一下CBN-福州马尾-高铁鼓山1号隧道出口（左侧）C-HRRH和CBN-深圳东华风车U-H5H这两个站点下小区的方位角、电子下倾角和机械下倾角。</x:t>
  </x:si>
  <x:si>
    <x:t xml:space="preserve">{
  "entityNames": [
    "CBN-福州马尾-高铁鼓山1号隧道出口（左侧）C-HRRH",
    "CBN-深圳东华风车U-H5H"
  ],
  "dataPath": null,
  "dimension": "CELL",
  "ratTypes": [],
  "fields": [
    "方位角",
    "电子下倾角",
    "机械下倾角"
  ],
  "filters": null
}</x:t>
  </x:si>
  <x:si>
    <x:t xml:space="preserve">CBN-福州晋安-东浦新村4号楼C-HRHH-512，方位角=170，电子下倾角=6，机械下倾角=6；CBN-深圳东华风车U-H5H-0711，方位角=170，电子下倾角=2，机械下倾角=10</x:t>
  </x:si>
  <x:si>
    <x:t xml:space="preserve">帮我查一下深圳大梅沙D-HRH站点下5G小区的方位角和电子下倾角。</x:t>
  </x:si>
  <x:si>
    <x:t xml:space="preserve">{
  "entityNames": [
    "深圳大梅沙D-HRH"
  ],
  "dataPath": null,
  "dimension": "CELL",
  "ratTypes": [
    "NR"
  ],
  "fields": [
    "方位角",
    "电子下倾角"
  ],
  "filters": null
}</x:t>
  </x:si>
  <x:si>
    <x:t xml:space="preserve">深圳大梅沙D-HRH-3，方位角=240，电子下倾角=0；深圳大梅沙D-HRH-2，方位角=150，电子下倾角=0；深圳大梅沙D-HRH-1，方位角=0，电子下倾角=0</x:t>
  </x:si>
  <x:si>
    <x:t xml:space="preserve">看一下CBN-深圳梅沙湾U-H5H-0711这个NR小区的站点名称和纬度。</x:t>
  </x:si>
  <x:si>
    <x:t xml:space="preserve">{
  "entityNames": [
    "CBN-深圳梅沙湾U-H5H-0711"
  ],
  "dataPath": null,
  "dimension": "CELL",
  "ratTypes": [
    "NR"
  ],
  "fields": [
    "站点名称",
    "纬度"
  ],
  "filters": null
}</x:t>
  </x:si>
  <x:si>
    <x:t xml:space="preserve">CBN-深圳梅沙湾U-H5H-0711，站点名称=CBN-深圳梅沙湾U-H5H，纬度=22.5911</x:t>
  </x:si>
  <x:si>
    <x:t xml:space="preserve">多小区5G工参查询</x:t>
  </x:si>
  <x:si>
    <x:t xml:space="preserve">找出深圳奥特莱斯D-HRH-1和深圳奥特莱斯D-HRH-2这两个5G小区的经度和设备厂商。</x:t>
  </x:si>
  <x:si>
    <x:t xml:space="preserve">{
  "entityNames": [
    "深圳奥特莱斯D-HRH-1",
    "深圳奥特莱斯D-HRH-2"
  ],
  "dataPath": null,
  "dimension": "CELL",
  "ratTypes": [
    "NR"
  ],
  "fields": [
    "经度",
    "设备厂商"
  ],
  "filters": null
}</x:t>
  </x:si>
  <x:si>
    <x:t xml:space="preserve">深圳奥特莱斯D-HRH-2，经度=114.3048，设备厂商=Huawei；深圳奥特莱斯D-HRH-1，经度=114.3048，设备厂商=Huawei</x:t>
  </x:si>
  <x:si>
    <x:t xml:space="preserve">单站点NR工参查询</x:t>
  </x:si>
  <x:si>
    <x:t xml:space="preserve">确认一下CBN-福州仓山-福州南站火车南站西北美化塔C-HRRH站点下NR小区的移动国家码和小区名称。</x:t>
  </x:si>
  <x:si>
    <x:t xml:space="preserve">{
  "entityNames": [
    "CBN-福州仓山-福州南站火车南站西北美化塔C-HRRH"
  ],
  "dataPath": null,
  "dimension": "CELL",
  "ratTypes": [
    "NR"
  ],
  "fields": [
    "移动国家码",
    "小区名称"
  ],
  "filters": null
}</x:t>
  </x:si>
  <x:si>
    <x:t xml:space="preserve">CBN-福州仓山-福州南站火车南站西北美化塔C-HRRH-512，移动国家码=460，小区名称=CBN-福州仓山-福州南站火车南站西北美化塔C-HRRH-512</x:t>
  </x:si>
  <x:si>
    <x:t xml:space="preserve">帮我查一下深圳东海岸三D-HRH-1这个5G小区的方位角、电子下倾角和站点名称。</x:t>
  </x:si>
  <x:si>
    <x:t xml:space="preserve">{
  "entityNames": [
    "深圳东海岸三D-HRH-1"
  ],
  "dataPath": null,
  "dimension": "CELL",
  "ratTypes": [
    "NR"
  ],
  "fields": [
    "方位角",
    "电子下倾角",
    "站点名称"
  ],
  "filters": null
}</x:t>
  </x:si>
  <x:si>
    <x:t xml:space="preserve">深圳东海岸三D-HRH-1，方位角=5，电子下倾角=0，站点名称=深圳东海岸三D-HRH</x:t>
  </x:si>
  <x:si>
    <x:t xml:space="preserve">帮我查一下深圳大梅沙D-HRH站点下天线高度大于30米的小区，返回小区名称、天线高度和方位角。</x:t>
  </x:si>
  <x:si>
    <x:t xml:space="preserve">{
  "entityNames": [
    "深圳大梅沙D-HRH"
  ],
  "dataPath": null,
  "dimension": "CELL",
  "ratTypes": [],
  "fields": [
    "小区名称",
    "天线高度",
    "方位角"
  ],
  "filters": {
    "and": [
      {
        "field": "天线高度",
        "operator": "GT",
        "values": [
          "30"
        ]
      }
    ]
  }
}</x:t>
  </x:si>
  <x:si>
    <x:t xml:space="preserve">找出深圳梅沙湾D-HRH-2和深圳大梅沙D-HRH-1这两个5G小区中，方位角在90到180度之间的，返回小区名称、方位角和经度。</x:t>
  </x:si>
  <x:si>
    <x:t xml:space="preserve">{
  "entityNames": [
    "深圳梅沙湾D-HRH-2",
    "深圳大梅沙D-HRH-1"
  ],
  "dataPath": null,
  "dimension": "CELL",
  "ratTypes": [
    "NR"
  ],
  "fields": [
    "小区名称",
    "方位角",
    "经度"
  ],
  "filters": {
    "and": [
      {
        "field": "方位角",
        "operator": "GE",
        "values": [
          "90"
        ]
      },
      {
        "field": "方位角",
        "operator": "LE",
        "values": [
          "180"
        ]
      }
    ]
  }
}</x:t>
  </x:si>
  <x:si>
    <x:t xml:space="preserve">看一下CBN-深圳梅沙湾U-H5H站点下机械下倾角等于6且电子下倾角不超过9的小区，返回小区名称、机械下倾角和电子下倾角。</x:t>
  </x:si>
  <x:si>
    <x:t xml:space="preserve">{
  "entityNames": [
    "CBN-深圳梅沙湾U-H5H"
  ],
  "dataPath": null,
  "dimension": "CELL",
  "ratTypes": [],
  "fields": [
    "小区名称",
    "机械下倾角",
    "电子下倾角"
  ],
  "filters": {
    "and": [
      {
        "field": "机械下倾角",
        "operator": "EQ",
        "values": [
          "6"
        ]
      },
      {
        "field": "电子下倾角",
        "operator": "LE",
        "values": [
          "9"
        ]
      }
    ]
  }
}</x:t>
  </x:si>
  <x:si>
    <x:t xml:space="preserve">单小区+IN条件过滤</x:t>
  </x:si>
  <x:si>
    <x:t xml:space="preserve">确认一下CBN-深圳东华风车U-H5H-0711这个小区，如果方位角是0或者180，返回它的基站标识、移动网号和方位角。</x:t>
  </x:si>
  <x:si>
    <x:t xml:space="preserve">{
  "entityNames": [
    "CBN-深圳东华风车U-H5H-0711"
  ],
  "dataPath": null,
  "dimension": "CELL",
  "ratTypes": [],
  "fields": [
    "基站标识",
    "移动网号",
    "方位角"
  ],
  "filters": {
    "and": [
      {
        "field": "方位角",
        "operator": "IN",
        "values": [
          "0",
          "180"
        ]
      }
    ]
  }
}</x:t>
  </x:si>
  <x:si>
    <x:t xml:space="preserve">多站点+NEQ条件过滤</x:t>
  </x:si>
  <x:si>
    <x:t xml:space="preserve">帮我筛一下CBN-福州仓山-福州南站火车南站西北美化塔C-HRRH和CBN-深圳天麓八区U-H5H这两个站点下，天线高度不等于20米的小区，返回小区名称、天线高度和纬度。</x:t>
  </x:si>
  <x:si>
    <x:t xml:space="preserve">{
  "entityNames": [
    "CBN-福州仓山-福州南站火车南站西北美化塔C-HRRH",
    "CBN-深圳天麓八区U-H5H"
  ],
  "dataPath": null,
  "dimension": "CELL",
  "ratTypes": [],
  "fields": [
    "小区名称",
    "天线高度",
    "纬度"
  ],
  "filters": {
    "and": [
      {
        "field": "天线高度",
        "operator": "NEQ",
        "values": [
          "20"
        ]
      }
    ]
  }
}</x:t>
  </x:si>
  <x:si>
    <x:t xml:space="preserve">CBN-福州仓山-福州南站火车南站西北美化塔C-HRRH-512，小区名称=CBN-福州仓山-福州南站火车南站西北美化塔C-HRRH-512，天线高度=25，纬度=26.043889；CBN-深圳东海岸三[CBN-深圳天麓八区U-H5H]U-H5H-0713，小区名称=CBN-深圳东海岸三[CBN-深圳天麓八区U-H5H]U-H5H-0713，天线高度=60，纬度=22.60748；CBN-深圳东海岸三[CBN-深圳天麓八区U-H5H]U-H5H-0712，小区名称=CBN-深圳东海岸三[CBN-深圳天麓八区U-H5H]U-H5H-0712，天线高度=60，纬度=22.60748；CBN-深圳东海岸三[CBN-深圳天麓八区U-H5H]U-H5H-0711，小区名称=CBN-深圳东海岸三[CBN-深圳天麓八区U-H5H]U-H5H-0711，天线高度=60，纬度=22.60748</x:t>
  </x:si>
</x:sst>
</file>

<file path=xl/styles.xml><?xml version="1.0" encoding="utf-8"?>
<x:styleSheet xmlns:x="http://schemas.openxmlformats.org/spreadsheetml/2006/main">
  <x:numFmts count="3">
    <x:numFmt numFmtId="200" formatCode="#,##0.0"/>
    <x:numFmt numFmtId="201" formatCode="0"/>
    <x:numFmt numFmtId="202" formatCode="#,##0"/>
  </x:numFmts>
  <x:fonts count="5">
    <x:font>
      <x:sz val="11"/>
      <x:color theme="1"/>
      <x:name val="宋体"/>
    </x:font>
    <x:font>
      <x:b/>
      <x:sz val="11"/>
      <x:name val="宋体"/>
    </x:font>
    <x:font>
      <x:sz val="9"/>
      <x:name val="宋体"/>
    </x:font>
    <x:font>
      <x:b/>
      <x:sz val="11"/>
      <x:color rgb="FFFFFFFF"/>
      <x:name val="宋体"/>
    </x:font>
    <x:font>
      <x:b/>
      <x:sz val="16"/>
      <x:color rgb="FFFFFFFF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17365D"/>
      </x:left>
      <x:right style="thin">
        <x:color auto="1"/>
      </x:right>
      <x:top style="thin">
        <x:color rgb="FF17365D"/>
      </x:top>
      <x:bottom style="thin">
        <x:color rgb="FF17365D"/>
      </x:bottom>
    </x:border>
    <x:border>
      <x:left style="thin">
        <x:color auto="1"/>
      </x:left>
      <x:right style="thin">
        <x:color auto="1"/>
      </x:righ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bottom style="thin">
        <x:color rgb="FFE2F0D9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0" xfId="0" applyAlignment="1"/>
    <x:xf numFmtId="0" fontId="1" fillId="0" borderId="1" xfId="0" applyFont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top"/>
    </x:xf>
    <x:xf numFmtId="0" fontId="3" fillId="2" borderId="3" xfId="0" applyNumberFormat="1" applyFont="1" applyFill="1" applyBorder="1" applyAlignment="1">
      <x:alignment horizontal="center" vertical="top"/>
    </x:xf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6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6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6" xfId="0" applyNumberFormat="1" applyFont="1" applyFill="1" applyBorder="1" applyAlignment="1">
      <x:alignment vertical="top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0" xfId="0" applyNumberFormat="1" applyFont="1" applyFill="1" applyBorder="1"/>
    <x:xf numFmtId="200" fontId="0" fillId="0" borderId="6" xfId="0" applyNumberFormat="1" applyFont="1" applyFill="1" applyBorder="1"/>
    <x:xf numFmtId="202" fontId="0" fillId="0" borderId="0" xfId="0" applyNumberFormat="1" applyFont="1" applyFill="1" applyBorder="1"/>
    <x:xf numFmtId="202" fontId="0" fillId="0" borderId="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常规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f822d59fae4fc4" /><Relationship Type="http://schemas.openxmlformats.org/officeDocument/2006/relationships/theme" Target="/xl/theme/theme1.xml" Id="R8b56cb55244f4393" /><Relationship Type="http://schemas.openxmlformats.org/officeDocument/2006/relationships/sharedStrings" Target="/xl/sharedStrings.xml" Id="R44bf4cbbd26540fc" /><Relationship Type="http://schemas.openxmlformats.org/officeDocument/2006/relationships/worksheet" Target="/xl/worksheets/sheet1.xml" Id="R8fb792e5af4d4cfb" /><Relationship Type="http://schemas.openxmlformats.org/officeDocument/2006/relationships/worksheet" Target="/xl/worksheets/sheet2.xml" Id="R9709e32b5fba4096" /><Relationship Type="http://schemas.openxmlformats.org/officeDocument/2006/relationships/worksheet" Target="/xl/worksheets/sheet3.xml" Id="R773b6af450d640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75" defaultRowHeight="13.5"/>
  <x:cols>
    <x:col min="1" max="1" width="10" style="1" hidden="0" customWidth="1"/>
    <x:col min="2" max="2" width="20" style="1" hidden="0" customWidth="1"/>
    <x:col min="3" max="3" width="48" style="1" hidden="0" customWidth="1"/>
    <x:col min="4" max="4" width="24" style="1" hidden="0" customWidth="1"/>
    <x:col min="5" max="5" width="24" style="1" hidden="0" customWidth="1"/>
    <x:col min="6" max="16384" width="8.75" style="1" customWidth="0"/>
    <x:col min="6" max="6" width="10" hidden="0" customWidth="1"/>
    <x:col min="7" max="7" width="4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6" hidden="0" customWidth="1"/>
    <x:col min="22" max="22" width="16" hidden="0" customWidth="1"/>
    <x:col min="23" max="23" width="34" hidden="0" customWidth="1"/>
  </x:cols>
  <x:sheetData>
    <x:row r="1" ht="42" customHeight="1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9" t="str">
        <x:v>问题编号</x:v>
      </x:c>
      <x:c r="G1" s="19" t="str">
        <x:v>转换后问题（Workflow inputText/query）</x:v>
      </x:c>
      <x:c r="H1" s="19" t="str">
        <x:v>AICO Skill 第1次(ms)</x:v>
      </x:c>
      <x:c r="I1" s="19" t="str">
        <x:v>AICO Skill 第2次(ms)</x:v>
      </x:c>
      <x:c r="J1" s="19" t="str">
        <x:v>AICO Workflow 第1次(ms)</x:v>
      </x:c>
      <x:c r="K1" s="19" t="str">
        <x:v>Recipe DeepSeek 第1次(ms)</x:v>
      </x:c>
      <x:c r="L1" s="19" t="str">
        <x:v>Recipe Qwen执行 第1次(ms)</x:v>
      </x:c>
      <x:c r="M1" s="19" t="str">
        <x:v>Recipe Qwen执行 第2次(ms)</x:v>
      </x:c>
      <x:c r="N1" s="19" t="str">
        <x:v>Recipe Qwen执行 第3次(ms)</x:v>
      </x:c>
      <x:c r="O1" s="19" t="str">
        <x:v>Recipe Qwen总结 第1次(ms)</x:v>
      </x:c>
      <x:c r="P1" s="19" t="str">
        <x:v>AICO总结 第1次(ms)</x:v>
      </x:c>
      <x:c r="Q1" s="19" t="str">
        <x:v>问题推荐 第1次(ms)</x:v>
      </x:c>
      <x:c r="R1" s="19" t="str">
        <x:v>AICO其他工具 第1次(ms)</x:v>
      </x:c>
      <x:c r="S1" s="19" t="str">
        <x:v>AICO其他工具 第2次(ms)</x:v>
      </x:c>
      <x:c r="T1" s="19" t="str">
        <x:v>AICO错误/失败 第1次(ms)</x:v>
      </x:c>
      <x:c r="U1" s="19" t="str">
        <x:v>模型调用总时延(ms)</x:v>
      </x:c>
      <x:c r="V1" s="19" t="str">
        <x:v>模型调用次数</x:v>
      </x:c>
      <x:c r="W1" s="20" t="str">
        <x:v>流程完整性</x:v>
      </x:c>
    </x:row>
    <x:row r="2" ht="42" customHeight="1">
      <x:c r="A2" s="23" t="s">
        <x:v>5</x:v>
      </x:c>
      <x:c r="B2" s="23" t="s">
        <x:v>6</x:v>
      </x:c>
      <x:c r="C2" s="23" t="s">
        <x:v>7</x:v>
      </x:c>
      <x:c r="D2" s="25" t="s">
        <x:v>8</x:v>
      </x:c>
      <x:c r="E2" s="25" t="s">
        <x:v>9</x:v>
      </x:c>
      <x:c r="F2" s="29" t="n">
        <x:v>1</x:v>
      </x:c>
      <x:c r="G2" s="23" t="str">
        <x:v>查询深圳大梅沙D-HRH-2小区的经度、纬度和方位角</x:v>
      </x:c>
      <x:c r="H2" s="27" t="n">
        <x:v>3404.693</x:v>
      </x:c>
      <x:c r="I2" s="27"/>
      <x:c r="J2" s="27" t="n">
        <x:v>2273.948</x:v>
      </x:c>
      <x:c r="K2" s="27" t="n">
        <x:v>1397.137</x:v>
      </x:c>
      <x:c r="L2" s="27" t="n">
        <x:v>2929.053</x:v>
      </x:c>
      <x:c r="M2" s="27"/>
      <x:c r="N2" s="27"/>
      <x:c r="O2" s="27" t="n">
        <x:v>1429.11</x:v>
      </x:c>
      <x:c r="P2" s="27" t="n">
        <x:v>2272.62</x:v>
      </x:c>
      <x:c r="Q2" s="27" t="n">
        <x:v>4100.835</x:v>
      </x:c>
      <x:c r="R2" s="27"/>
      <x:c r="S2" s="27"/>
      <x:c r="T2" s="27"/>
      <x:c r="U2" s="27" t="n">
        <x:f>SUMIF('调用明细'!$A$2:$A$405,F2,'调用明细'!$H$2:$H$405)</x:f>
        <x:v>17807.395999999997</x:v>
      </x:c>
      <x:c r="V2" s="27" t="n">
        <x:f>COUNTIF('调用明细'!$A$2:$A$405,F2)</x:f>
        <x:v>7</x:v>
      </x:c>
      <x:c r="W2" s="23" t="str">
        <x:v>完整</x:v>
      </x:c>
    </x:row>
    <x:row r="3" ht="42" customHeight="1">
      <x:c r="A3" s="23" t="s">
        <x:v>5</x:v>
      </x:c>
      <x:c r="B3" s="23" t="s">
        <x:v>10</x:v>
      </x:c>
      <x:c r="C3" s="23" t="s">
        <x:v>11</x:v>
      </x:c>
      <x:c r="D3" s="25" t="s">
        <x:v>12</x:v>
      </x:c>
      <x:c r="E3" s="25" t="s">
        <x:v>13</x:v>
      </x:c>
      <x:c r="F3" s="29" t="n">
        <x:v>2</x:v>
      </x:c>
      <x:c r="G3" s="23" t="str">
        <x:v>查询CBN-深圳天麓八区U-H5H站点下小区的天线高度和机械下倾角</x:v>
      </x:c>
      <x:c r="H3" s="27" t="n">
        <x:v>3436.553</x:v>
      </x:c>
      <x:c r="I3" s="27"/>
      <x:c r="J3" s="27" t="n">
        <x:v>2567.92</x:v>
      </x:c>
      <x:c r="K3" s="27" t="n">
        <x:v>1659.896</x:v>
      </x:c>
      <x:c r="L3" s="27" t="n">
        <x:v>1605.49</x:v>
      </x:c>
      <x:c r="M3" s="27"/>
      <x:c r="N3" s="27"/>
      <x:c r="O3" s="27" t="n">
        <x:v>2229.772</x:v>
      </x:c>
      <x:c r="P3" s="27" t="n">
        <x:v>2476.251</x:v>
      </x:c>
      <x:c r="Q3" s="27" t="n">
        <x:v>3128.135</x:v>
      </x:c>
      <x:c r="R3" s="27"/>
      <x:c r="S3" s="27"/>
      <x:c r="T3" s="27"/>
      <x:c r="U3" s="27" t="n">
        <x:f>SUMIF('调用明细'!$A$2:$A$405,F3,'调用明细'!$H$2:$H$405)</x:f>
        <x:v>17104.017</x:v>
      </x:c>
      <x:c r="V3" s="27" t="n">
        <x:f>COUNTIF('调用明细'!$A$2:$A$405,F3)</x:f>
        <x:v>7</x:v>
      </x:c>
      <x:c r="W3" s="23" t="str">
        <x:v>完整</x:v>
      </x:c>
    </x:row>
    <x:row r="4" ht="42" customHeight="1">
      <x:c r="A4" s="23" t="s">
        <x:v>5</x:v>
      </x:c>
      <x:c r="B4" s="23" t="s">
        <x:v>14</x:v>
      </x:c>
      <x:c r="C4" s="23" t="s">
        <x:v>15</x:v>
      </x:c>
      <x:c r="D4" s="25" t="s">
        <x:v>16</x:v>
      </x:c>
      <x:c r="E4" s="25" t="s">
        <x:v>17</x:v>
      </x:c>
      <x:c r="F4" s="29" t="n">
        <x:v>3</x:v>
      </x:c>
      <x:c r="G4" s="23" t="str">
        <x:v>查询CBN-福州仓山-火车南站西广场南侧高架桥旁C-HRHH-512小区的小区标识和基站标识</x:v>
      </x:c>
      <x:c r="H4" s="27" t="n">
        <x:v>3118.96</x:v>
      </x:c>
      <x:c r="I4" s="27"/>
      <x:c r="J4" s="27" t="n">
        <x:v>3094.852</x:v>
      </x:c>
      <x:c r="K4" s="27" t="n">
        <x:v>1813.072</x:v>
      </x:c>
      <x:c r="L4" s="27" t="n">
        <x:v>1625.012</x:v>
      </x:c>
      <x:c r="M4" s="27"/>
      <x:c r="N4" s="27"/>
      <x:c r="O4" s="27" t="n">
        <x:v>2773.608</x:v>
      </x:c>
      <x:c r="P4" s="27" t="n">
        <x:v>2531.077</x:v>
      </x:c>
      <x:c r="Q4" s="27" t="n">
        <x:v>3013.151</x:v>
      </x:c>
      <x:c r="R4" s="27"/>
      <x:c r="S4" s="27"/>
      <x:c r="T4" s="27"/>
      <x:c r="U4" s="27" t="n">
        <x:f>SUMIF('调用明细'!$A$2:$A$405,F4,'调用明细'!$H$2:$H$405)</x:f>
        <x:v>17969.732000000004</x:v>
      </x:c>
      <x:c r="V4" s="27" t="n">
        <x:f>COUNTIF('调用明细'!$A$2:$A$405,F4)</x:f>
        <x:v>7</x:v>
      </x:c>
      <x:c r="W4" s="23" t="str">
        <x:v>完整</x:v>
      </x:c>
    </x:row>
    <x:row r="5" ht="42" customHeight="1">
      <x:c r="A5" s="23" t="s">
        <x:v>5</x:v>
      </x:c>
      <x:c r="B5" s="23" t="s">
        <x:v>18</x:v>
      </x:c>
      <x:c r="C5" s="23" t="s">
        <x:v>19</x:v>
      </x:c>
      <x:c r="D5" s="25" t="s">
        <x:v>20</x:v>
      </x:c>
      <x:c r="E5" s="25" t="s">
        <x:v>21</x:v>
      </x:c>
      <x:c r="F5" s="29" t="n">
        <x:v>4</x:v>
      </x:c>
      <x:c r="G5" s="23" t="str">
        <x:v>查询深圳梅沙湾二D-HRH-3小区的方向角</x:v>
      </x:c>
      <x:c r="H5" s="27" t="n">
        <x:v>2848.23</x:v>
      </x:c>
      <x:c r="I5" s="27"/>
      <x:c r="J5" s="27" t="n">
        <x:v>2843.565</x:v>
      </x:c>
      <x:c r="K5" s="27" t="n">
        <x:v>2839.763</x:v>
      </x:c>
      <x:c r="L5" s="27"/>
      <x:c r="M5" s="27"/>
      <x:c r="N5" s="27"/>
      <x:c r="O5" s="27"/>
      <x:c r="P5" s="27" t="n">
        <x:v>2555.162</x:v>
      </x:c>
      <x:c r="Q5" s="27" t="n">
        <x:v>3148.598</x:v>
      </x:c>
      <x:c r="R5" s="27"/>
      <x:c r="S5" s="27"/>
      <x:c r="T5" s="27"/>
      <x:c r="U5" s="27" t="n">
        <x:f>SUMIF('调用明细'!$A$2:$A$405,F5,'调用明细'!$H$2:$H$405)</x:f>
        <x:v>14235.318000000001</x:v>
      </x:c>
      <x:c r="V5" s="27" t="n">
        <x:f>COUNTIF('调用明细'!$A$2:$A$405,F5)</x:f>
        <x:v>5</x:v>
      </x:c>
      <x:c r="W5" s="23" t="str">
        <x:v>缺少：Recipe - Qwen总结</x:v>
      </x:c>
    </x:row>
    <x:row r="6" ht="42" customHeight="1">
      <x:c r="A6" s="23" t="s">
        <x:v>5</x:v>
      </x:c>
      <x:c r="B6" s="23" t="s">
        <x:v>22</x:v>
      </x:c>
      <x:c r="C6" s="23" t="s">
        <x:v>23</x:v>
      </x:c>
      <x:c r="D6" s="25" t="s">
        <x:v>24</x:v>
      </x:c>
      <x:c r="E6" s="25" t="s">
        <x:v>25</x:v>
      </x:c>
      <x:c r="F6" s="29" t="n">
        <x:v>5</x:v>
      </x:c>
      <x:c r="G6" s="23" t="str">
        <x:v>未提取</x:v>
      </x:c>
      <x:c r="H6" s="27"/>
      <x:c r="I6" s="27"/>
      <x:c r="J6" s="27"/>
      <x:c r="K6" s="27"/>
      <x:c r="L6" s="27"/>
      <x:c r="M6" s="27"/>
      <x:c r="N6" s="27"/>
      <x:c r="O6" s="27"/>
      <x:c r="P6" s="27" t="n">
        <x:v>2437.22</x:v>
      </x:c>
      <x:c r="Q6" s="27" t="n">
        <x:v>3389.431</x:v>
      </x:c>
      <x:c r="R6" s="27"/>
      <x:c r="S6" s="27"/>
      <x:c r="T6" s="27"/>
      <x:c r="U6" s="27" t="n">
        <x:f>SUMIF('调用明细'!$A$2:$A$405,F6,'调用明细'!$H$2:$H$405)</x:f>
        <x:v>5826.651</x:v>
      </x:c>
      <x:c r="V6" s="27" t="n">
        <x:f>COUNTIF('调用明细'!$A$2:$A$405,F6)</x:f>
        <x:v>2</x:v>
      </x:c>
      <x:c r="W6" s="23" t="str">
        <x:v>缺少：AICO Tool Call - Skill、AICO Tool Call - Workflow、Recipe - DeepSeek、Recipe - Qwen总结</x:v>
      </x:c>
    </x:row>
    <x:row r="7" ht="42" customHeight="1">
      <x:c r="A7" s="23" t="s">
        <x:v>26</x:v>
      </x:c>
      <x:c r="B7" s="23" t="s">
        <x:v>27</x:v>
      </x:c>
      <x:c r="C7" s="23" t="s">
        <x:v>28</x:v>
      </x:c>
      <x:c r="D7" s="25" t="s">
        <x:v>29</x:v>
      </x:c>
      <x:c r="E7" s="25" t="s">
        <x:v>30</x:v>
      </x:c>
      <x:c r="F7" s="29" t="n">
        <x:v>6</x:v>
      </x:c>
      <x:c r="G7" s="23" t="str">
        <x:v>查询CBN-福州晋安-福厦高铁苔井山隧道入口（左侧）C-HRRH-513和CBN-福州仓山-福厦高铁鸡笼山隧道C-HRRH-513这两个小区的方位角、电子下倾角和机械下倾角</x:v>
      </x:c>
      <x:c r="H7" s="27" t="n">
        <x:v>2910.612</x:v>
      </x:c>
      <x:c r="I7" s="27"/>
      <x:c r="J7" s="27" t="n">
        <x:v>2712.621</x:v>
      </x:c>
      <x:c r="K7" s="27" t="n">
        <x:v>2787.321</x:v>
      </x:c>
      <x:c r="L7" s="27" t="n">
        <x:v>1860.52</x:v>
      </x:c>
      <x:c r="M7" s="27"/>
      <x:c r="N7" s="27"/>
      <x:c r="O7" s="27" t="n">
        <x:v>3468.355</x:v>
      </x:c>
      <x:c r="P7" s="27" t="n">
        <x:v>3834.212</x:v>
      </x:c>
      <x:c r="Q7" s="27" t="n">
        <x:v>3612.677</x:v>
      </x:c>
      <x:c r="R7" s="27"/>
      <x:c r="S7" s="27"/>
      <x:c r="T7" s="27"/>
      <x:c r="U7" s="27" t="n">
        <x:f>SUMIF('调用明细'!$A$2:$A$405,F7,'调用明细'!$H$2:$H$405)</x:f>
        <x:v>21186.318</x:v>
      </x:c>
      <x:c r="V7" s="27" t="n">
        <x:f>COUNTIF('调用明细'!$A$2:$A$405,F7)</x:f>
        <x:v>7</x:v>
      </x:c>
      <x:c r="W7" s="23" t="str">
        <x:v>完整</x:v>
      </x:c>
    </x:row>
    <x:row r="8" ht="42" customHeight="1">
      <x:c r="A8" s="23" t="s">
        <x:v>26</x:v>
      </x:c>
      <x:c r="B8" s="23" t="s">
        <x:v>31</x:v>
      </x:c>
      <x:c r="C8" s="23" t="s">
        <x:v>32</x:v>
      </x:c>
      <x:c r="D8" s="25" t="s">
        <x:v>33</x:v>
      </x:c>
      <x:c r="E8" s="25" t="s">
        <x:v>34</x:v>
      </x:c>
      <x:c r="F8" s="29" t="n">
        <x:v>7</x:v>
      </x:c>
      <x:c r="G8" s="23" t="str">
        <x:v>查询深圳东华风车D-HRH和CBN-深圳上威梅沙二U-H5H这两个站点下小区的基站标识、纬度和设备厂商</x:v>
      </x:c>
      <x:c r="H8" s="27" t="n">
        <x:v>2550.942</x:v>
      </x:c>
      <x:c r="I8" s="27"/>
      <x:c r="J8" s="27" t="n">
        <x:v>2568.539</x:v>
      </x:c>
      <x:c r="K8" s="27" t="n">
        <x:v>2021.858</x:v>
      </x:c>
      <x:c r="L8" s="27" t="n">
        <x:v>2279.425</x:v>
      </x:c>
      <x:c r="M8" s="27" t="n">
        <x:v>2251.419</x:v>
      </x:c>
      <x:c r="N8" s="27"/>
      <x:c r="O8" s="27" t="n">
        <x:v>1745.217</x:v>
      </x:c>
      <x:c r="P8" s="27" t="n">
        <x:v>2699.788</x:v>
      </x:c>
      <x:c r="Q8" s="27" t="n">
        <x:v>2881.403</x:v>
      </x:c>
      <x:c r="R8" s="27"/>
      <x:c r="S8" s="27"/>
      <x:c r="T8" s="27"/>
      <x:c r="U8" s="27" t="n">
        <x:f>SUMIF('调用明细'!$A$2:$A$405,F8,'调用明细'!$H$2:$H$405)</x:f>
        <x:v>18998.591</x:v>
      </x:c>
      <x:c r="V8" s="27" t="n">
        <x:f>COUNTIF('调用明细'!$A$2:$A$405,F8)</x:f>
        <x:v>8</x:v>
      </x:c>
      <x:c r="W8" s="23" t="str">
        <x:v>完整</x:v>
      </x:c>
    </x:row>
    <x:row r="9" ht="42" customHeight="1">
      <x:c r="A9" s="23" t="s">
        <x:v>26</x:v>
      </x:c>
      <x:c r="B9" s="23" t="s">
        <x:v>27</x:v>
      </x:c>
      <x:c r="C9" s="23" t="s">
        <x:v>35</x:v>
      </x:c>
      <x:c r="D9" s="25" t="s">
        <x:v>36</x:v>
      </x:c>
      <x:c r="E9" s="25" t="s">
        <x:v>37</x:v>
      </x:c>
      <x:c r="F9" s="29" t="n">
        <x:v>8</x:v>
      </x:c>
      <x:c r="G9" s="23" t="str">
        <x:v>对比CBN-深圳梅沙湾U-H5H-0712、CBN-深圳梅沙湾U-H5H-0711和CBN-深圳东海岸三[CBN-深圳天麓八区U-H5H]U-H5H-0711这三个小区的移动国家码、方向角和天线高度</x:v>
      </x:c>
      <x:c r="H9" s="27" t="n">
        <x:v>2750.302</x:v>
      </x:c>
      <x:c r="I9" s="27"/>
      <x:c r="J9" s="27" t="n">
        <x:v>3358.006</x:v>
      </x:c>
      <x:c r="K9" s="27" t="n">
        <x:v>2355.739</x:v>
      </x:c>
      <x:c r="L9" s="27" t="n">
        <x:v>2260.649</x:v>
      </x:c>
      <x:c r="M9" s="27" t="n">
        <x:v>1971.575</x:v>
      </x:c>
      <x:c r="N9" s="27"/>
      <x:c r="O9" s="27" t="n">
        <x:v>4286.198</x:v>
      </x:c>
      <x:c r="P9" s="27" t="n">
        <x:v>2494.571</x:v>
      </x:c>
      <x:c r="Q9" s="27" t="n">
        <x:v>1161.214</x:v>
      </x:c>
      <x:c r="R9" s="27"/>
      <x:c r="S9" s="27"/>
      <x:c r="T9" s="27"/>
      <x:c r="U9" s="27" t="n">
        <x:f>SUMIF('调用明细'!$A$2:$A$405,F9,'调用明细'!$H$2:$H$405)</x:f>
        <x:v>20638.254</x:v>
      </x:c>
      <x:c r="V9" s="27" t="n">
        <x:f>COUNTIF('调用明细'!$A$2:$A$405,F9)</x:f>
        <x:v>8</x:v>
      </x:c>
      <x:c r="W9" s="23" t="str">
        <x:v>完整</x:v>
      </x:c>
    </x:row>
    <x:row r="10" ht="42" customHeight="1">
      <x:c r="A10" s="23" t="s">
        <x:v>26</x:v>
      </x:c>
      <x:c r="B10" s="23" t="s">
        <x:v>31</x:v>
      </x:c>
      <x:c r="C10" s="23" t="s">
        <x:v>38</x:v>
      </x:c>
      <x:c r="D10" s="25" t="s">
        <x:v>39</x:v>
      </x:c>
      <x:c r="E10" s="25" t="s">
        <x:v>40</x:v>
      </x:c>
      <x:c r="F10" s="29" t="n">
        <x:v>9</x:v>
      </x:c>
      <x:c r="G10" s="23" t="str">
        <x:v>找出CBN-福州晋安-站东路三环北路交叉西C-HRRH和CBN-福州仓山-高铁鸡笼山隧道入口C-HRRH这两个站点下小区的经度、纬度和方位角</x:v>
      </x:c>
      <x:c r="H10" s="27" t="n">
        <x:v>3189.465</x:v>
      </x:c>
      <x:c r="I10" s="27"/>
      <x:c r="J10" s="27" t="n">
        <x:v>2918.38</x:v>
      </x:c>
      <x:c r="K10" s="27" t="n">
        <x:v>2187.201</x:v>
      </x:c>
      <x:c r="L10" s="27" t="n">
        <x:v>1809.194</x:v>
      </x:c>
      <x:c r="M10" s="27"/>
      <x:c r="N10" s="27"/>
      <x:c r="O10" s="27" t="n">
        <x:v>3281.006</x:v>
      </x:c>
      <x:c r="P10" s="27" t="n">
        <x:v>3913.296</x:v>
      </x:c>
      <x:c r="Q10" s="27" t="n">
        <x:v>4059</x:v>
      </x:c>
      <x:c r="R10" s="27" t="n">
        <x:v>2253.822</x:v>
      </x:c>
      <x:c r="S10" s="27"/>
      <x:c r="T10" s="27"/>
      <x:c r="U10" s="27" t="n">
        <x:f>SUMIF('调用明细'!$A$2:$A$405,F10,'调用明细'!$H$2:$H$405)</x:f>
        <x:v>23611.363999999998</x:v>
      </x:c>
      <x:c r="V10" s="27" t="n">
        <x:f>COUNTIF('调用明细'!$A$2:$A$405,F10)</x:f>
        <x:v>8</x:v>
      </x:c>
      <x:c r="W10" s="23" t="str">
        <x:v>完整</x:v>
      </x:c>
    </x:row>
    <x:row r="11" ht="42" customHeight="1">
      <x:c r="A11" s="23" t="s">
        <x:v>26</x:v>
      </x:c>
      <x:c r="B11" s="23" t="s">
        <x:v>27</x:v>
      </x:c>
      <x:c r="C11" s="23" t="s">
        <x:v>41</x:v>
      </x:c>
      <x:c r="D11" s="25" t="s">
        <x:v>42</x:v>
      </x:c>
      <x:c r="E11" s="25" t="s">
        <x:v>43</x:v>
      </x:c>
      <x:c r="F11" s="29" t="n">
        <x:v>10</x:v>
      </x:c>
      <x:c r="G11" s="23" t="str">
        <x:v>查询CBN-福州晋安-东浦新村4号楼C-HRHH-512、CBN-福州晋安-东浦新村4号楼C-HRHH-514和深圳大梅沙D-HRH-3这三个小区的站点名称、小区标识和电子下倾角</x:v>
      </x:c>
      <x:c r="H11" s="27" t="n">
        <x:v>3503.365</x:v>
      </x:c>
      <x:c r="I11" s="27"/>
      <x:c r="J11" s="27" t="n">
        <x:v>2767.922</x:v>
      </x:c>
      <x:c r="K11" s="27" t="n">
        <x:v>2374.587</x:v>
      </x:c>
      <x:c r="L11" s="27" t="n">
        <x:v>2380.682</x:v>
      </x:c>
      <x:c r="M11" s="27"/>
      <x:c r="N11" s="27"/>
      <x:c r="O11" s="27" t="n">
        <x:v>4110.263</x:v>
      </x:c>
      <x:c r="P11" s="27" t="n">
        <x:v>2391.523</x:v>
      </x:c>
      <x:c r="Q11" s="27" t="n">
        <x:v>3066.58</x:v>
      </x:c>
      <x:c r="R11" s="27"/>
      <x:c r="S11" s="27"/>
      <x:c r="T11" s="27"/>
      <x:c r="U11" s="27" t="n">
        <x:f>SUMIF('调用明细'!$A$2:$A$405,F11,'调用明细'!$H$2:$H$405)</x:f>
        <x:v>20594.922</x:v>
      </x:c>
      <x:c r="V11" s="27" t="n">
        <x:f>COUNTIF('调用明细'!$A$2:$A$405,F11)</x:f>
        <x:v>7</x:v>
      </x:c>
      <x:c r="W11" s="23" t="str">
        <x:v>完整</x:v>
      </x:c>
    </x:row>
    <x:row r="12" ht="42" customHeight="1">
      <x:c r="A12" s="23" t="s">
        <x:v>44</x:v>
      </x:c>
      <x:c r="B12" s="23" t="s">
        <x:v>45</x:v>
      </x:c>
      <x:c r="C12" s="23" t="s">
        <x:v>46</x:v>
      </x:c>
      <x:c r="D12" s="25" t="s">
        <x:v>47</x:v>
      </x:c>
      <x:c r="E12" s="25" t="s">
        <x:v>48</x:v>
      </x:c>
      <x:c r="F12" s="29" t="n">
        <x:v>11</x:v>
      </x:c>
      <x:c r="G12" s="23" t="str">
        <x:v>查询CBN-深圳大梅沙U-H5H站点下5G小区的小区名称、基站标识和方位角</x:v>
      </x:c>
      <x:c r="H12" s="27" t="n">
        <x:v>2489.841</x:v>
      </x:c>
      <x:c r="I12" s="27"/>
      <x:c r="J12" s="27" t="n">
        <x:v>2955.598</x:v>
      </x:c>
      <x:c r="K12" s="27" t="n">
        <x:v>1882.059</x:v>
      </x:c>
      <x:c r="L12" s="27" t="n">
        <x:v>2186.711</x:v>
      </x:c>
      <x:c r="M12" s="27"/>
      <x:c r="N12" s="27"/>
      <x:c r="O12" s="27" t="n">
        <x:v>2243.93</x:v>
      </x:c>
      <x:c r="P12" s="27" t="n">
        <x:v>3317</x:v>
      </x:c>
      <x:c r="Q12" s="27" t="n">
        <x:v>3297.53</x:v>
      </x:c>
      <x:c r="R12" s="27"/>
      <x:c r="S12" s="27"/>
      <x:c r="T12" s="27"/>
      <x:c r="U12" s="27" t="n">
        <x:f>SUMIF('调用明细'!$A$2:$A$405,F12,'调用明细'!$H$2:$H$405)</x:f>
        <x:v>18372.669</x:v>
      </x:c>
      <x:c r="V12" s="27" t="n">
        <x:f>COUNTIF('调用明细'!$A$2:$A$405,F12)</x:f>
        <x:v>7</x:v>
      </x:c>
      <x:c r="W12" s="23" t="str">
        <x:v>完整</x:v>
      </x:c>
    </x:row>
    <x:row r="13" ht="42" customHeight="1">
      <x:c r="A13" s="23" t="s">
        <x:v>44</x:v>
      </x:c>
      <x:c r="B13" s="23" t="s">
        <x:v>49</x:v>
      </x:c>
      <x:c r="C13" s="23" t="s">
        <x:v>50</x:v>
      </x:c>
      <x:c r="D13" s="25" t="s">
        <x:v>51</x:v>
      </x:c>
      <x:c r="E13" s="25" t="s">
        <x:v>52</x:v>
      </x:c>
      <x:c r="F13" s="29" t="n">
        <x:v>12</x:v>
      </x:c>
      <x:c r="G13" s="23" t="str">
        <x:v>查询深圳大梅沙二[深圳大梅沙二D-HRH]C-HRH-3这个NR小区的机械下倾角、电子下倾角和天线高度</x:v>
      </x:c>
      <x:c r="H13" s="27" t="n">
        <x:v>3288.702</x:v>
      </x:c>
      <x:c r="I13" s="27"/>
      <x:c r="J13" s="27" t="n">
        <x:v>3173.87</x:v>
      </x:c>
      <x:c r="K13" s="27" t="n">
        <x:v>1929.811</x:v>
      </x:c>
      <x:c r="L13" s="27" t="n">
        <x:v>1938.353</x:v>
      </x:c>
      <x:c r="M13" s="27"/>
      <x:c r="N13" s="27"/>
      <x:c r="O13" s="27" t="n">
        <x:v>1660.969</x:v>
      </x:c>
      <x:c r="P13" s="27" t="n">
        <x:v>2540.199</x:v>
      </x:c>
      <x:c r="Q13" s="27" t="n">
        <x:v>2842.716</x:v>
      </x:c>
      <x:c r="R13" s="27"/>
      <x:c r="S13" s="27"/>
      <x:c r="T13" s="27"/>
      <x:c r="U13" s="27" t="n">
        <x:f>SUMIF('调用明细'!$A$2:$A$405,F13,'调用明细'!$H$2:$H$405)</x:f>
        <x:v>17374.620000000003</x:v>
      </x:c>
      <x:c r="V13" s="27" t="n">
        <x:f>COUNTIF('调用明细'!$A$2:$A$405,F13)</x:f>
        <x:v>7</x:v>
      </x:c>
      <x:c r="W13" s="23" t="str">
        <x:v>完整</x:v>
      </x:c>
    </x:row>
    <x:row r="14" ht="42" customHeight="1">
      <x:c r="A14" s="23" t="s">
        <x:v>44</x:v>
      </x:c>
      <x:c r="B14" s="23" t="s">
        <x:v>53</x:v>
      </x:c>
      <x:c r="C14" s="23" t="s">
        <x:v>54</x:v>
      </x:c>
      <x:c r="D14" s="25" t="s">
        <x:v>55</x:v>
      </x:c>
      <x:c r="E14" s="25" t="s">
        <x:v>56</x:v>
      </x:c>
      <x:c r="F14" s="29" t="n">
        <x:v>13</x:v>
      </x:c>
      <x:c r="G14" s="23" t="str">
        <x:v>查询CBN-福州晋安-站东路三环北路交叉西C-HRRH和深圳东海岸三D-HRH这两个站点下5G小区的纬度、经度和设备厂商</x:v>
      </x:c>
      <x:c r="H14" s="27" t="n">
        <x:v>3949.006</x:v>
      </x:c>
      <x:c r="I14" s="27"/>
      <x:c r="J14" s="27" t="n">
        <x:v>3589.17</x:v>
      </x:c>
      <x:c r="K14" s="27" t="n">
        <x:v>1916.965</x:v>
      </x:c>
      <x:c r="L14" s="27" t="n">
        <x:v>1770.014</x:v>
      </x:c>
      <x:c r="M14" s="27" t="n">
        <x:v>2526.903</x:v>
      </x:c>
      <x:c r="N14" s="27"/>
      <x:c r="O14" s="27" t="n">
        <x:v>3253.805</x:v>
      </x:c>
      <x:c r="P14" s="27" t="n">
        <x:v>3553.407</x:v>
      </x:c>
      <x:c r="Q14" s="27" t="n">
        <x:v>4146.582</x:v>
      </x:c>
      <x:c r="R14" s="27"/>
      <x:c r="S14" s="27"/>
      <x:c r="T14" s="27"/>
      <x:c r="U14" s="27" t="n">
        <x:f>SUMIF('调用明细'!$A$2:$A$405,F14,'调用明细'!$H$2:$H$405)</x:f>
        <x:v>24705.852</x:v>
      </x:c>
      <x:c r="V14" s="27" t="n">
        <x:f>COUNTIF('调用明细'!$A$2:$A$405,F14)</x:f>
        <x:v>8</x:v>
      </x:c>
      <x:c r="W14" s="23" t="str">
        <x:v>完整</x:v>
      </x:c>
    </x:row>
    <x:row r="15" ht="42" customHeight="1">
      <x:c r="A15" s="23" t="s">
        <x:v>44</x:v>
      </x:c>
      <x:c r="B15" s="23" t="s">
        <x:v>57</x:v>
      </x:c>
      <x:c r="C15" s="23" t="s">
        <x:v>58</x:v>
      </x:c>
      <x:c r="D15" s="25" t="s">
        <x:v>59</x:v>
      </x:c>
      <x:c r="E15" s="25" t="s">
        <x:v>60</x:v>
      </x:c>
      <x:c r="F15" s="29" t="n">
        <x:v>14</x:v>
      </x:c>
      <x:c r="G15" s="23" t="str">
        <x:v>找出CBN-福州仓山-福州火车南站C-HRHH-521和CBN-福州晋安-东浦新村4号楼C-HRHH-513这两个NR小区的方向角、移动国家码和站点名称</x:v>
      </x:c>
      <x:c r="H15" s="27" t="n">
        <x:v>3314.779</x:v>
      </x:c>
      <x:c r="I15" s="27"/>
      <x:c r="J15" s="27" t="n">
        <x:v>2694.718</x:v>
      </x:c>
      <x:c r="K15" s="27" t="n">
        <x:v>2102.436</x:v>
      </x:c>
      <x:c r="L15" s="27" t="n">
        <x:v>2275.791</x:v>
      </x:c>
      <x:c r="M15" s="27" t="n">
        <x:v>2041.284</x:v>
      </x:c>
      <x:c r="N15" s="27"/>
      <x:c r="O15" s="27" t="n">
        <x:v>2208.354</x:v>
      </x:c>
      <x:c r="P15" s="27" t="n">
        <x:v>4207.344</x:v>
      </x:c>
      <x:c r="Q15" s="27" t="n">
        <x:v>3418.068</x:v>
      </x:c>
      <x:c r="R15" s="27"/>
      <x:c r="S15" s="27"/>
      <x:c r="T15" s="27"/>
      <x:c r="U15" s="27" t="n">
        <x:f>SUMIF('调用明细'!$A$2:$A$405,F15,'调用明细'!$H$2:$H$405)</x:f>
        <x:v>22262.773999999998</x:v>
      </x:c>
      <x:c r="V15" s="27" t="n">
        <x:f>COUNTIF('调用明细'!$A$2:$A$405,F15)</x:f>
        <x:v>8</x:v>
      </x:c>
      <x:c r="W15" s="23" t="str">
        <x:v>完整</x:v>
      </x:c>
    </x:row>
    <x:row r="16" ht="42" customHeight="1">
      <x:c r="A16" s="23" t="s">
        <x:v>44</x:v>
      </x:c>
      <x:c r="B16" s="23" t="s">
        <x:v>45</x:v>
      </x:c>
      <x:c r="C16" s="23" t="s">
        <x:v>61</x:v>
      </x:c>
      <x:c r="D16" s="25" t="s">
        <x:v>62</x:v>
      </x:c>
      <x:c r="E16" s="25" t="s">
        <x:v>63</x:v>
      </x:c>
      <x:c r="F16" s="29" t="n">
        <x:v>15</x:v>
      </x:c>
      <x:c r="G16" s="23" t="str">
        <x:v>查询CBN-深圳梅沙湾二U-H5H站点下5G小区的CGI、小区标识和机械下倾角</x:v>
      </x:c>
      <x:c r="H16" s="27" t="n">
        <x:v>2599.42</x:v>
      </x:c>
      <x:c r="I16" s="27"/>
      <x:c r="J16" s="27" t="n">
        <x:v>2366.36</x:v>
      </x:c>
      <x:c r="K16" s="27" t="n">
        <x:v>1619.71</x:v>
      </x:c>
      <x:c r="L16" s="27" t="n">
        <x:v>2612.451</x:v>
      </x:c>
      <x:c r="M16" s="27" t="n">
        <x:v>4591.004</x:v>
      </x:c>
      <x:c r="N16" s="27" t="n">
        <x:v>1757.821</x:v>
      </x:c>
      <x:c r="O16" s="27" t="n">
        <x:v>2765.965</x:v>
      </x:c>
      <x:c r="P16" s="27" t="n">
        <x:v>4166.441</x:v>
      </x:c>
      <x:c r="Q16" s="27" t="n">
        <x:v>3200.888</x:v>
      </x:c>
      <x:c r="R16" s="27"/>
      <x:c r="S16" s="27"/>
      <x:c r="T16" s="27"/>
      <x:c r="U16" s="27" t="n">
        <x:f>SUMIF('调用明细'!$A$2:$A$405,F16,'调用明细'!$H$2:$H$405)</x:f>
        <x:v>25680.059999999998</x:v>
      </x:c>
      <x:c r="V16" s="27" t="n">
        <x:f>COUNTIF('调用明细'!$A$2:$A$405,F16)</x:f>
        <x:v>9</x:v>
      </x:c>
      <x:c r="W16" s="23" t="str">
        <x:v>完整</x:v>
      </x:c>
    </x:row>
    <x:row r="17" ht="42" customHeight="1">
      <x:c r="A17" s="23" t="s">
        <x:v>64</x:v>
      </x:c>
      <x:c r="B17" s="23" t="s">
        <x:v>65</x:v>
      </x:c>
      <x:c r="C17" s="23" t="s">
        <x:v>66</x:v>
      </x:c>
      <x:c r="D17" s="25" t="s">
        <x:v>67</x:v>
      </x:c>
      <x:c r="E17" s="25" t="s">
        <x:v>68</x:v>
      </x:c>
      <x:c r="F17" s="29" t="n">
        <x:v>16</x:v>
      </x:c>
      <x:c r="G17" s="23" t="str">
        <x:v>查询CBN-深圳梅沙湾U-H5H站点下天线高度大于30米的小区，返回小区名称、天线高度和方位角</x:v>
      </x:c>
      <x:c r="H17" s="27" t="n">
        <x:v>2602.082</x:v>
      </x:c>
      <x:c r="I17" s="27"/>
      <x:c r="J17" s="27" t="n">
        <x:v>2356.967</x:v>
      </x:c>
      <x:c r="K17" s="27" t="n">
        <x:v>1591.874</x:v>
      </x:c>
      <x:c r="L17" s="27" t="n">
        <x:v>2950.935</x:v>
      </x:c>
      <x:c r="M17" s="27"/>
      <x:c r="N17" s="27"/>
      <x:c r="O17" s="27" t="n">
        <x:v>1361.436</x:v>
      </x:c>
      <x:c r="P17" s="27" t="n">
        <x:v>2380.838</x:v>
      </x:c>
      <x:c r="Q17" s="27" t="n">
        <x:v>2739.455</x:v>
      </x:c>
      <x:c r="R17" s="27"/>
      <x:c r="S17" s="27"/>
      <x:c r="T17" s="27"/>
      <x:c r="U17" s="27" t="n">
        <x:f>SUMIF('调用明细'!$A$2:$A$405,F17,'调用明细'!$H$2:$H$405)</x:f>
        <x:v>15983.587</x:v>
      </x:c>
      <x:c r="V17" s="27" t="n">
        <x:f>COUNTIF('调用明细'!$A$2:$A$405,F17)</x:f>
        <x:v>7</x:v>
      </x:c>
      <x:c r="W17" s="23" t="str">
        <x:v>完整</x:v>
      </x:c>
    </x:row>
    <x:row r="18" ht="42" customHeight="1">
      <x:c r="A18" s="23" t="s">
        <x:v>64</x:v>
      </x:c>
      <x:c r="B18" s="23" t="s">
        <x:v>69</x:v>
      </x:c>
      <x:c r="C18" s="23" t="s">
        <x:v>70</x:v>
      </x:c>
      <x:c r="D18" s="25" t="s">
        <x:v>71</x:v>
      </x:c>
      <x:c r="E18" s="25" t="s">
        <x:v>72</x:v>
      </x:c>
      <x:c r="F18" s="29" t="n">
        <x:v>17</x:v>
      </x:c>
      <x:c r="G18" s="23" t="str">
        <x:v>找出深圳奥特莱斯D-HRW-1和深圳奥特莱斯D-HRH-2这两个5G小区中，机械下倾角在3到9之间的小区名称、机械下倾角和电子下倾角</x:v>
      </x:c>
      <x:c r="H18" s="27" t="n">
        <x:v>4849.847</x:v>
      </x:c>
      <x:c r="I18" s="27"/>
      <x:c r="J18" s="27" t="n">
        <x:v>2786.113</x:v>
      </x:c>
      <x:c r="K18" s="27" t="n">
        <x:v>2050.705</x:v>
      </x:c>
      <x:c r="L18" s="27" t="n">
        <x:v>3266.38</x:v>
      </x:c>
      <x:c r="M18" s="27"/>
      <x:c r="N18" s="27"/>
      <x:c r="O18" s="27" t="n">
        <x:v>1650.121</x:v>
      </x:c>
      <x:c r="P18" s="27" t="n">
        <x:v>2610.515</x:v>
      </x:c>
      <x:c r="Q18" s="27" t="n">
        <x:v>4070.362</x:v>
      </x:c>
      <x:c r="R18" s="27"/>
      <x:c r="S18" s="27"/>
      <x:c r="T18" s="27"/>
      <x:c r="U18" s="27" t="n">
        <x:f>SUMIF('调用明细'!$A$2:$A$405,F18,'调用明细'!$H$2:$H$405)</x:f>
        <x:v>21284.042999999998</x:v>
      </x:c>
      <x:c r="V18" s="27" t="n">
        <x:f>COUNTIF('调用明细'!$A$2:$A$405,F18)</x:f>
        <x:v>7</x:v>
      </x:c>
      <x:c r="W18" s="23" t="str">
        <x:v>完整</x:v>
      </x:c>
    </x:row>
    <x:row r="19" ht="42" customHeight="1">
      <x:c r="A19" s="23" t="s">
        <x:v>64</x:v>
      </x:c>
      <x:c r="B19" s="23" t="s">
        <x:v>73</x:v>
      </x:c>
      <x:c r="C19" s="23" t="s">
        <x:v>74</x:v>
      </x:c>
      <x:c r="D19" s="25" t="s">
        <x:v>75</x:v>
      </x:c>
      <x:c r="E19" s="25" t="s">
        <x:v>68</x:v>
      </x:c>
      <x:c r="F19" s="29" t="n">
        <x:v>18</x:v>
      </x:c>
      <x:c r="G19" s="23" t="str">
        <x:v>查询CBN-福州晋安-东浦新村4号楼C-HRHH站点下，方位角等于90且电子下倾角不超过6的小区，返回小区名称、方位角和电子下倾角</x:v>
      </x:c>
      <x:c r="H19" s="27" t="n">
        <x:v>3625.277</x:v>
      </x:c>
      <x:c r="I19" s="27"/>
      <x:c r="J19" s="27" t="n">
        <x:v>2929.883</x:v>
      </x:c>
      <x:c r="K19" s="27" t="n">
        <x:v>2113.704</x:v>
      </x:c>
      <x:c r="L19" s="27" t="n">
        <x:v>2088.861</x:v>
      </x:c>
      <x:c r="M19" s="27"/>
      <x:c r="N19" s="27"/>
      <x:c r="O19" s="27" t="n">
        <x:v>2654.233</x:v>
      </x:c>
      <x:c r="P19" s="27" t="n">
        <x:v>2621.774</x:v>
      </x:c>
      <x:c r="Q19" s="27" t="n">
        <x:v>3131.693</x:v>
      </x:c>
      <x:c r="R19" s="27"/>
      <x:c r="S19" s="27"/>
      <x:c r="T19" s="27"/>
      <x:c r="U19" s="27" t="n">
        <x:f>SUMIF('调用明细'!$A$2:$A$405,F19,'调用明细'!$H$2:$H$405)</x:f>
        <x:v>19165.425</x:v>
      </x:c>
      <x:c r="V19" s="27" t="n">
        <x:f>COUNTIF('调用明细'!$A$2:$A$405,F19)</x:f>
        <x:v>7</x:v>
      </x:c>
      <x:c r="W19" s="23" t="str">
        <x:v>完整</x:v>
      </x:c>
    </x:row>
    <x:row r="20" ht="42" customHeight="1">
      <x:c r="A20" s="23" t="s">
        <x:v>64</x:v>
      </x:c>
      <x:c r="B20" s="23" t="s">
        <x:v>76</x:v>
      </x:c>
      <x:c r="C20" s="23" t="s">
        <x:v>77</x:v>
      </x:c>
      <x:c r="D20" s="25" t="s">
        <x:v>78</x:v>
      </x:c>
      <x:c r="E20" s="25" t="s">
        <x:v>68</x:v>
      </x:c>
      <x:c r="F20" s="29" t="n">
        <x:v>19</x:v>
      </x:c>
      <x:c r="G20" s="23" t="str">
        <x:v>查询深圳东海岸三D-HRH和深圳大梅沙海滨公园D-HRW-1这两个站点下，天线高度为20或25米的小区，返回小区名称、天线高度和站点名称</x:v>
      </x:c>
      <x:c r="H20" s="27" t="n">
        <x:v>2665.797</x:v>
      </x:c>
      <x:c r="I20" s="27"/>
      <x:c r="J20" s="27" t="n">
        <x:v>3253.343</x:v>
      </x:c>
      <x:c r="K20" s="27" t="n">
        <x:v>1846.961</x:v>
      </x:c>
      <x:c r="L20" s="27" t="n">
        <x:v>2299.404</x:v>
      </x:c>
      <x:c r="M20" s="27"/>
      <x:c r="N20" s="27"/>
      <x:c r="O20" s="27" t="n">
        <x:v>1498.989</x:v>
      </x:c>
      <x:c r="P20" s="27" t="n">
        <x:v>2701.729</x:v>
      </x:c>
      <x:c r="Q20" s="27" t="n">
        <x:v>3181.673</x:v>
      </x:c>
      <x:c r="R20" s="27"/>
      <x:c r="S20" s="27"/>
      <x:c r="T20" s="27"/>
      <x:c r="U20" s="27" t="n">
        <x:f>SUMIF('调用明细'!$A$2:$A$405,F20,'调用明细'!$H$2:$H$405)</x:f>
        <x:v>17447.895999999997</x:v>
      </x:c>
      <x:c r="V20" s="27" t="n">
        <x:f>COUNTIF('调用明细'!$A$2:$A$405,F20)</x:f>
        <x:v>7</x:v>
      </x:c>
      <x:c r="W20" s="23" t="str">
        <x:v>完整</x:v>
      </x:c>
    </x:row>
    <x:row r="21" ht="42" customHeight="1">
      <x:c r="A21" s="23" t="s">
        <x:v>64</x:v>
      </x:c>
      <x:c r="B21" s="23" t="s">
        <x:v>79</x:v>
      </x:c>
      <x:c r="C21" s="23" t="s">
        <x:v>80</x:v>
      </x:c>
      <x:c r="D21" s="25" t="s">
        <x:v>81</x:v>
      </x:c>
      <x:c r="E21" s="25" t="s">
        <x:v>82</x:v>
      </x:c>
      <x:c r="F21" s="29" t="n">
        <x:v>20</x:v>
      </x:c>
      <x:c r="G21" s="23" t="str">
        <x:v>确认CBN-深圳大梅沙二U-H5H-0711这个NR小区，如果方位角不是180度，返回它的小区名称、方位角和经度</x:v>
      </x:c>
      <x:c r="H21" s="27" t="n">
        <x:v>2621.011</x:v>
      </x:c>
      <x:c r="I21" s="27"/>
      <x:c r="J21" s="27" t="n">
        <x:v>2488.265</x:v>
      </x:c>
      <x:c r="K21" s="27" t="n">
        <x:v>1965.639</x:v>
      </x:c>
      <x:c r="L21" s="27" t="n">
        <x:v>3061.513</x:v>
      </x:c>
      <x:c r="M21" s="27"/>
      <x:c r="N21" s="27"/>
      <x:c r="O21" s="27" t="n">
        <x:v>1779.494</x:v>
      </x:c>
      <x:c r="P21" s="27" t="n">
        <x:v>2713.499</x:v>
      </x:c>
      <x:c r="Q21" s="27" t="n">
        <x:v>2967.417</x:v>
      </x:c>
      <x:c r="R21" s="27"/>
      <x:c r="S21" s="27"/>
      <x:c r="T21" s="27"/>
      <x:c r="U21" s="27" t="n">
        <x:f>SUMIF('调用明细'!$A$2:$A$405,F21,'调用明细'!$H$2:$H$405)</x:f>
        <x:v>17596.838</x:v>
      </x:c>
      <x:c r="V21" s="27" t="n">
        <x:f>COUNTIF('调用明细'!$A$2:$A$405,F21)</x:f>
        <x:v>7</x:v>
      </x:c>
      <x:c r="W21" s="23" t="str">
        <x:v>完整</x:v>
      </x:c>
    </x:row>
    <x:row r="22" ht="42" customHeight="1">
      <x:c r="A22" s="23" t="s">
        <x:v>5</x:v>
      </x:c>
      <x:c r="B22" s="23" t="s">
        <x:v>6</x:v>
      </x:c>
      <x:c r="C22" s="23" t="s">
        <x:v>83</x:v>
      </x:c>
      <x:c r="D22" s="25" t="s">
        <x:v>84</x:v>
      </x:c>
      <x:c r="E22" s="25" t="s">
        <x:v>85</x:v>
      </x:c>
      <x:c r="F22" s="29" t="n">
        <x:v>21</x:v>
      </x:c>
      <x:c r="G22" s="23" t="str">
        <x:v>查询 CBN-福州仓山-永南路与站后路交叉口C-HRHH-515 小区的方位角和机械下倾角</x:v>
      </x:c>
      <x:c r="H22" s="27" t="n">
        <x:v>2559.134</x:v>
      </x:c>
      <x:c r="I22" s="27"/>
      <x:c r="J22" s="27" t="n">
        <x:v>2416.622</x:v>
      </x:c>
      <x:c r="K22" s="27" t="n">
        <x:v>2260.77</x:v>
      </x:c>
      <x:c r="L22" s="27" t="n">
        <x:v>2925.675</x:v>
      </x:c>
      <x:c r="M22" s="27"/>
      <x:c r="N22" s="27"/>
      <x:c r="O22" s="27" t="n">
        <x:v>1751.861</x:v>
      </x:c>
      <x:c r="P22" s="27" t="n">
        <x:v>2555.038</x:v>
      </x:c>
      <x:c r="Q22" s="27" t="n">
        <x:v>2850.848</x:v>
      </x:c>
      <x:c r="R22" s="27"/>
      <x:c r="S22" s="27"/>
      <x:c r="T22" s="27"/>
      <x:c r="U22" s="27" t="n">
        <x:f>SUMIF('调用明细'!$A$2:$A$405,F22,'调用明细'!$H$2:$H$405)</x:f>
        <x:v>17319.948000000004</x:v>
      </x:c>
      <x:c r="V22" s="27" t="n">
        <x:f>COUNTIF('调用明细'!$A$2:$A$405,F22)</x:f>
        <x:v>7</x:v>
      </x:c>
      <x:c r="W22" s="23" t="str">
        <x:v>完整</x:v>
      </x:c>
    </x:row>
    <x:row r="23" ht="42" customHeight="1">
      <x:c r="A23" s="23" t="s">
        <x:v>5</x:v>
      </x:c>
      <x:c r="B23" s="23" t="s">
        <x:v>22</x:v>
      </x:c>
      <x:c r="C23" s="23" t="s">
        <x:v>86</x:v>
      </x:c>
      <x:c r="D23" s="25" t="s">
        <x:v>87</x:v>
      </x:c>
      <x:c r="E23" s="25" t="s">
        <x:v>88</x:v>
      </x:c>
      <x:c r="F23" s="29" t="n">
        <x:v>22</x:v>
      </x:c>
      <x:c r="G23" s="23" t="str">
        <x:v>查询深圳大梅沙D-HRH站点下小区的经度和纬度</x:v>
      </x:c>
      <x:c r="H23" s="27" t="n">
        <x:v>2941.345</x:v>
      </x:c>
      <x:c r="I23" s="27"/>
      <x:c r="J23" s="27" t="n">
        <x:v>2213.852</x:v>
      </x:c>
      <x:c r="K23" s="27" t="n">
        <x:v>1460.126</x:v>
      </x:c>
      <x:c r="L23" s="27" t="n">
        <x:v>1494.006</x:v>
      </x:c>
      <x:c r="M23" s="27"/>
      <x:c r="N23" s="27"/>
      <x:c r="O23" s="27" t="n">
        <x:v>1430.925</x:v>
      </x:c>
      <x:c r="P23" s="27" t="n">
        <x:v>2280.464</x:v>
      </x:c>
      <x:c r="Q23" s="27" t="n">
        <x:v>3504.445</x:v>
      </x:c>
      <x:c r="R23" s="27"/>
      <x:c r="S23" s="27"/>
      <x:c r="T23" s="27"/>
      <x:c r="U23" s="27" t="n">
        <x:f>SUMIF('调用明细'!$A$2:$A$405,F23,'调用明细'!$H$2:$H$405)</x:f>
        <x:v>15325.163</x:v>
      </x:c>
      <x:c r="V23" s="27" t="n">
        <x:f>COUNTIF('调用明细'!$A$2:$A$405,F23)</x:f>
        <x:v>7</x:v>
      </x:c>
      <x:c r="W23" s="23" t="str">
        <x:v>完整</x:v>
      </x:c>
    </x:row>
    <x:row r="24" ht="42" customHeight="1">
      <x:c r="A24" s="23" t="s">
        <x:v>5</x:v>
      </x:c>
      <x:c r="B24" s="23" t="s">
        <x:v>14</x:v>
      </x:c>
      <x:c r="C24" s="23" t="s">
        <x:v>89</x:v>
      </x:c>
      <x:c r="D24" s="25" t="s">
        <x:v>90</x:v>
      </x:c>
      <x:c r="E24" s="25" t="s">
        <x:v>91</x:v>
      </x:c>
      <x:c r="F24" s="29" t="n">
        <x:v>23</x:v>
      </x:c>
      <x:c r="G24" s="23" t="str">
        <x:v>确认 CBN-深圳东华风车U-H5H-0711 小区的基站标识和小区名称</x:v>
      </x:c>
      <x:c r="H24" s="27" t="n">
        <x:v>2431.441</x:v>
      </x:c>
      <x:c r="I24" s="27"/>
      <x:c r="J24" s="27" t="n">
        <x:v>2305.338</x:v>
      </x:c>
      <x:c r="K24" s="27" t="n">
        <x:v>1485.599</x:v>
      </x:c>
      <x:c r="L24" s="27" t="n">
        <x:v>1578.006</x:v>
      </x:c>
      <x:c r="M24" s="27"/>
      <x:c r="N24" s="27"/>
      <x:c r="O24" s="27" t="n">
        <x:v>1600.797</x:v>
      </x:c>
      <x:c r="P24" s="27" t="n">
        <x:v>2509.014</x:v>
      </x:c>
      <x:c r="Q24" s="27" t="n">
        <x:v>2683.102</x:v>
      </x:c>
      <x:c r="R24" s="27"/>
      <x:c r="S24" s="27"/>
      <x:c r="T24" s="27"/>
      <x:c r="U24" s="27" t="n">
        <x:f>SUMIF('调用明细'!$A$2:$A$405,F24,'调用明细'!$H$2:$H$405)</x:f>
        <x:v>14593.296999999999</x:v>
      </x:c>
      <x:c r="V24" s="27" t="n">
        <x:f>COUNTIF('调用明细'!$A$2:$A$405,F24)</x:f>
        <x:v>7</x:v>
      </x:c>
      <x:c r="W24" s="23" t="str">
        <x:v>完整</x:v>
      </x:c>
    </x:row>
    <x:row r="25" ht="42" customHeight="1">
      <x:c r="A25" s="23" t="s">
        <x:v>5</x:v>
      </x:c>
      <x:c r="B25" s="23" t="s">
        <x:v>18</x:v>
      </x:c>
      <x:c r="C25" s="23" t="s">
        <x:v>92</x:v>
      </x:c>
      <x:c r="D25" s="25" t="s">
        <x:v>93</x:v>
      </x:c>
      <x:c r="E25" s="25" t="s">
        <x:v>94</x:v>
      </x:c>
      <x:c r="F25" s="29" t="n">
        <x:v>24</x:v>
      </x:c>
      <x:c r="G25" s="23" t="str">
        <x:v>找出 CBN-福州晋安-福厦高铁鼓山鼓一隧道C-HRRH-513 小区的方向角。</x:v>
      </x:c>
      <x:c r="H25" s="27" t="n">
        <x:v>2461.764</x:v>
      </x:c>
      <x:c r="I25" s="27"/>
      <x:c r="J25" s="27" t="n">
        <x:v>2365.511</x:v>
      </x:c>
      <x:c r="K25" s="27" t="n">
        <x:v>1654.733</x:v>
      </x:c>
      <x:c r="L25" s="27" t="n">
        <x:v>1608.982</x:v>
      </x:c>
      <x:c r="M25" s="27"/>
      <x:c r="N25" s="27"/>
      <x:c r="O25" s="27" t="n">
        <x:v>1406.402</x:v>
      </x:c>
      <x:c r="P25" s="27" t="n">
        <x:v>2382.748</x:v>
      </x:c>
      <x:c r="Q25" s="27" t="n">
        <x:v>2907.231</x:v>
      </x:c>
      <x:c r="R25" s="27"/>
      <x:c r="S25" s="27"/>
      <x:c r="T25" s="27"/>
      <x:c r="U25" s="27" t="n">
        <x:f>SUMIF('调用明细'!$A$2:$A$405,F25,'调用明细'!$H$2:$H$405)</x:f>
        <x:v>14787.371</x:v>
      </x:c>
      <x:c r="V25" s="27" t="n">
        <x:f>COUNTIF('调用明细'!$A$2:$A$405,F25)</x:f>
        <x:v>7</x:v>
      </x:c>
      <x:c r="W25" s="23" t="str">
        <x:v>完整</x:v>
      </x:c>
    </x:row>
    <x:row r="26" ht="42" customHeight="1">
      <x:c r="A26" s="23" t="s">
        <x:v>5</x:v>
      </x:c>
      <x:c r="B26" s="23" t="s">
        <x:v>95</x:v>
      </x:c>
      <x:c r="C26" s="23" t="s">
        <x:v>96</x:v>
      </x:c>
      <x:c r="D26" s="25" t="s">
        <x:v>97</x:v>
      </x:c>
      <x:c r="E26" s="25" t="s">
        <x:v>98</x:v>
      </x:c>
      <x:c r="F26" s="29" t="n">
        <x:v>25</x:v>
      </x:c>
      <x:c r="G26" s="23" t="str">
        <x:v>查询CBN-深圳梅沙湾U-H5H站点下小区的站点名称、方位角和机械下倾角</x:v>
      </x:c>
      <x:c r="H26" s="27" t="n">
        <x:v>2576.051</x:v>
      </x:c>
      <x:c r="I26" s="27"/>
      <x:c r="J26" s="27" t="n">
        <x:v>2515.461</x:v>
      </x:c>
      <x:c r="K26" s="27" t="n">
        <x:v>1793.061</x:v>
      </x:c>
      <x:c r="L26" s="27" t="n">
        <x:v>1638.333</x:v>
      </x:c>
      <x:c r="M26" s="27"/>
      <x:c r="N26" s="27"/>
      <x:c r="O26" s="27" t="n">
        <x:v>2773.014</x:v>
      </x:c>
      <x:c r="P26" s="27" t="n">
        <x:v>3706.889</x:v>
      </x:c>
      <x:c r="Q26" s="27" t="n">
        <x:v>3125.273</x:v>
      </x:c>
      <x:c r="R26" s="27"/>
      <x:c r="S26" s="27"/>
      <x:c r="T26" s="27"/>
      <x:c r="U26" s="27" t="n">
        <x:f>SUMIF('调用明细'!$A$2:$A$405,F26,'调用明细'!$H$2:$H$405)</x:f>
        <x:v>18128.082</x:v>
      </x:c>
      <x:c r="V26" s="27" t="n">
        <x:f>COUNTIF('调用明细'!$A$2:$A$405,F26)</x:f>
        <x:v>7</x:v>
      </x:c>
      <x:c r="W26" s="23" t="str">
        <x:v>完整</x:v>
      </x:c>
    </x:row>
    <x:row r="27" ht="42" customHeight="1">
      <x:c r="A27" s="23" t="s">
        <x:v>26</x:v>
      </x:c>
      <x:c r="B27" s="23" t="s">
        <x:v>27</x:v>
      </x:c>
      <x:c r="C27" s="23" t="s">
        <x:v>99</x:v>
      </x:c>
      <x:c r="D27" s="25" t="s">
        <x:v>100</x:v>
      </x:c>
      <x:c r="E27" s="25" t="s">
        <x:v>101</x:v>
      </x:c>
      <x:c r="F27" s="29" t="n">
        <x:v>26</x:v>
      </x:c>
      <x:c r="G27" s="23" t="str">
        <x:v>未提取</x:v>
      </x:c>
      <x:c r="H27" s="27"/>
      <x:c r="I27" s="27"/>
      <x:c r="J27" s="27"/>
      <x:c r="K27" s="27"/>
      <x:c r="L27" s="27"/>
      <x:c r="M27" s="27"/>
      <x:c r="N27" s="27"/>
      <x:c r="O27" s="27"/>
      <x:c r="P27" s="27" t="n">
        <x:v>2592.644</x:v>
      </x:c>
      <x:c r="Q27" s="27" t="n">
        <x:v>3199.566</x:v>
      </x:c>
      <x:c r="R27" s="27"/>
      <x:c r="S27" s="27"/>
      <x:c r="T27" s="27"/>
      <x:c r="U27" s="27" t="n">
        <x:f>SUMIF('调用明细'!$A$2:$A$405,F27,'调用明细'!$H$2:$H$405)</x:f>
        <x:v>5792.209999999999</x:v>
      </x:c>
      <x:c r="V27" s="27" t="n">
        <x:f>COUNTIF('调用明细'!$A$2:$A$405,F27)</x:f>
        <x:v>2</x:v>
      </x:c>
      <x:c r="W27" s="23" t="str">
        <x:v>缺少：AICO Tool Call - Skill、AICO Tool Call - Workflow、Recipe - DeepSeek、Recipe - Qwen总结</x:v>
      </x:c>
    </x:row>
    <x:row r="28" ht="42" customHeight="1">
      <x:c r="A28" s="23" t="s">
        <x:v>26</x:v>
      </x:c>
      <x:c r="B28" s="23" t="s">
        <x:v>31</x:v>
      </x:c>
      <x:c r="C28" s="23" t="s">
        <x:v>102</x:v>
      </x:c>
      <x:c r="D28" s="25" t="s">
        <x:v>103</x:v>
      </x:c>
      <x:c r="E28" s="25" t="s">
        <x:v>104</x:v>
      </x:c>
      <x:c r="F28" s="29" t="n">
        <x:v>27</x:v>
      </x:c>
      <x:c r="G28" s="23" t="str">
        <x:v>查询深圳奥特莱斯D-HRH 和 深圳上威梅沙二D-HRH 这两个站点下小区的天线高度和电子下倾角</x:v>
      </x:c>
      <x:c r="H28" s="27" t="n">
        <x:v>2599.587</x:v>
      </x:c>
      <x:c r="I28" s="27"/>
      <x:c r="J28" s="27" t="n">
        <x:v>3013.213</x:v>
      </x:c>
      <x:c r="K28" s="27" t="n">
        <x:v>1750.07</x:v>
      </x:c>
      <x:c r="L28" s="27" t="n">
        <x:v>1891.25</x:v>
      </x:c>
      <x:c r="M28" s="27"/>
      <x:c r="N28" s="27"/>
      <x:c r="O28" s="27" t="n">
        <x:v>3922.103</x:v>
      </x:c>
      <x:c r="P28" s="27" t="n">
        <x:v>3944.763</x:v>
      </x:c>
      <x:c r="Q28" s="27" t="n">
        <x:v>3938.878</x:v>
      </x:c>
      <x:c r="R28" s="27"/>
      <x:c r="S28" s="27"/>
      <x:c r="T28" s="27"/>
      <x:c r="U28" s="27" t="n">
        <x:f>SUMIF('调用明细'!$A$2:$A$405,F28,'调用明细'!$H$2:$H$405)</x:f>
        <x:v>21059.863999999998</x:v>
      </x:c>
      <x:c r="V28" s="27" t="n">
        <x:f>COUNTIF('调用明细'!$A$2:$A$405,F28)</x:f>
        <x:v>7</x:v>
      </x:c>
      <x:c r="W28" s="23" t="str">
        <x:v>完整</x:v>
      </x:c>
    </x:row>
    <x:row r="29" ht="42" customHeight="1">
      <x:c r="A29" s="23" t="s">
        <x:v>26</x:v>
      </x:c>
      <x:c r="B29" s="23" t="s">
        <x:v>105</x:v>
      </x:c>
      <x:c r="C29" s="23" t="s">
        <x:v>106</x:v>
      </x:c>
      <x:c r="D29" s="25" t="s">
        <x:v>107</x:v>
      </x:c>
      <x:c r="E29" s="25" t="s">
        <x:v>108</x:v>
      </x:c>
      <x:c r="F29" s="29" t="n">
        <x:v>28</x:v>
      </x:c>
      <x:c r="G29" s="23" t="str">
        <x:v>找出 CBN-深圳大梅沙二U-H5H-0711、CBN-深圳盐梅路一U-H5H-0712 和 CBN-深圳东海岸三[CBN-深圳天麓八区U-H5H]U-H5H-0711 这三个小区的站点名称</x:v>
      </x:c>
      <x:c r="H29" s="27" t="n">
        <x:v>3593.988</x:v>
      </x:c>
      <x:c r="I29" s="27"/>
      <x:c r="J29" s="27" t="n">
        <x:v>2771.941</x:v>
      </x:c>
      <x:c r="K29" s="27" t="n">
        <x:v>1847.4</x:v>
      </x:c>
      <x:c r="L29" s="27" t="n">
        <x:v>2542.158</x:v>
      </x:c>
      <x:c r="M29" s="27"/>
      <x:c r="N29" s="27"/>
      <x:c r="O29" s="27" t="n">
        <x:v>1918.756</x:v>
      </x:c>
      <x:c r="P29" s="27" t="n">
        <x:v>3307.53</x:v>
      </x:c>
      <x:c r="Q29" s="27" t="n">
        <x:v>3643.015</x:v>
      </x:c>
      <x:c r="R29" s="27"/>
      <x:c r="S29" s="27"/>
      <x:c r="T29" s="27"/>
      <x:c r="U29" s="27" t="n">
        <x:f>SUMIF('调用明细'!$A$2:$A$405,F29,'调用明细'!$H$2:$H$405)</x:f>
        <x:v>19624.788</x:v>
      </x:c>
      <x:c r="V29" s="27" t="n">
        <x:f>COUNTIF('调用明细'!$A$2:$A$405,F29)</x:f>
        <x:v>7</x:v>
      </x:c>
      <x:c r="W29" s="23" t="str">
        <x:v>完整</x:v>
      </x:c>
    </x:row>
    <x:row r="30" ht="42" customHeight="1">
      <x:c r="A30" s="23" t="s">
        <x:v>26</x:v>
      </x:c>
      <x:c r="B30" s="23" t="s">
        <x:v>27</x:v>
      </x:c>
      <x:c r="C30" s="23" t="s">
        <x:v>109</x:v>
      </x:c>
      <x:c r="D30" s="25" t="s">
        <x:v>110</x:v>
      </x:c>
      <x:c r="E30" s="25" t="s">
        <x:v>111</x:v>
      </x:c>
      <x:c r="F30" s="29" t="n">
        <x:v>29</x:v>
      </x:c>
      <x:c r="G30" s="23" t="str">
        <x:v>对比 CBN-福州晋安-东浦新村4号楼C-HRHH-513 和 CBN-福州晋安-东浦新村4号楼C-HRHH-514 这两个小区的设备厂商和小区名称</x:v>
      </x:c>
      <x:c r="H30" s="27" t="n">
        <x:v>2587.063</x:v>
      </x:c>
      <x:c r="I30" s="27"/>
      <x:c r="J30" s="27" t="n">
        <x:v>3126.613</x:v>
      </x:c>
      <x:c r="K30" s="27" t="n">
        <x:v>2027.869</x:v>
      </x:c>
      <x:c r="L30" s="27" t="n">
        <x:v>2008.235</x:v>
      </x:c>
      <x:c r="M30" s="27" t="n">
        <x:v>3756.278</x:v>
      </x:c>
      <x:c r="N30" s="27"/>
      <x:c r="O30" s="27" t="n">
        <x:v>2912.215</x:v>
      </x:c>
      <x:c r="P30" s="27" t="n">
        <x:v>2336.747</x:v>
      </x:c>
      <x:c r="Q30" s="27" t="n">
        <x:v>1182.553</x:v>
      </x:c>
      <x:c r="R30" s="27"/>
      <x:c r="S30" s="27"/>
      <x:c r="T30" s="27"/>
      <x:c r="U30" s="27" t="n">
        <x:f>SUMIF('调用明细'!$A$2:$A$405,F30,'调用明细'!$H$2:$H$405)</x:f>
        <x:v>19937.573</x:v>
      </x:c>
      <x:c r="V30" s="27" t="n">
        <x:f>COUNTIF('调用明细'!$A$2:$A$405,F30)</x:f>
        <x:v>8</x:v>
      </x:c>
      <x:c r="W30" s="23" t="str">
        <x:v>完整</x:v>
      </x:c>
    </x:row>
    <x:row r="31" ht="42" customHeight="1">
      <x:c r="A31" s="23" t="s">
        <x:v>26</x:v>
      </x:c>
      <x:c r="B31" s="23" t="s">
        <x:v>31</x:v>
      </x:c>
      <x:c r="C31" s="23" t="s">
        <x:v>112</x:v>
      </x:c>
      <x:c r="D31" s="25" t="s">
        <x:v>113</x:v>
      </x:c>
      <x:c r="E31" s="25" t="s">
        <x:v>114</x:v>
      </x:c>
      <x:c r="F31" s="29" t="n">
        <x:v>30</x:v>
      </x:c>
      <x:c r="G31" s="23" t="str">
        <x:v>查询 CBN-福州仓山-福州南站火车南站西北美化塔C-HRRH 和 CBN-深圳大梅沙U-H5H 这两个站点下小区的方位角和天线高度</x:v>
      </x:c>
      <x:c r="H31" s="27" t="n">
        <x:v>2573.855</x:v>
      </x:c>
      <x:c r="I31" s="27"/>
      <x:c r="J31" s="27" t="n">
        <x:v>3199.913</x:v>
      </x:c>
      <x:c r="K31" s="27" t="n">
        <x:v>1939.303</x:v>
      </x:c>
      <x:c r="L31" s="27" t="n">
        <x:v>2071.042</x:v>
      </x:c>
      <x:c r="M31" s="27"/>
      <x:c r="N31" s="27"/>
      <x:c r="O31" s="27" t="n">
        <x:v>4332.677</x:v>
      </x:c>
      <x:c r="P31" s="27" t="n">
        <x:v>4010.728</x:v>
      </x:c>
      <x:c r="Q31" s="27" t="n">
        <x:v>4811.825</x:v>
      </x:c>
      <x:c r="R31" s="27"/>
      <x:c r="S31" s="27"/>
      <x:c r="T31" s="27"/>
      <x:c r="U31" s="27" t="n">
        <x:f>SUMIF('调用明细'!$A$2:$A$405,F31,'调用明细'!$H$2:$H$405)</x:f>
        <x:v>22939.343</x:v>
      </x:c>
      <x:c r="V31" s="27" t="n">
        <x:f>COUNTIF('调用明细'!$A$2:$A$405,F31)</x:f>
        <x:v>7</x:v>
      </x:c>
      <x:c r="W31" s="23" t="str">
        <x:v>完整</x:v>
      </x:c>
    </x:row>
    <x:row r="32" ht="42" customHeight="1">
      <x:c r="A32" s="23" t="s">
        <x:v>44</x:v>
      </x:c>
      <x:c r="B32" s="23" t="s">
        <x:v>45</x:v>
      </x:c>
      <x:c r="C32" s="23" t="s">
        <x:v>115</x:v>
      </x:c>
      <x:c r="D32" s="25" t="s">
        <x:v>116</x:v>
      </x:c>
      <x:c r="E32" s="25" t="s">
        <x:v>117</x:v>
      </x:c>
      <x:c r="F32" s="29" t="n">
        <x:v>31</x:v>
      </x:c>
      <x:c r="G32" s="23" t="str">
        <x:v>未提取</x:v>
      </x:c>
      <x:c r="H32" s="27"/>
      <x:c r="I32" s="27"/>
      <x:c r="J32" s="27"/>
      <x:c r="K32" s="27"/>
      <x:c r="L32" s="27"/>
      <x:c r="M32" s="27"/>
      <x:c r="N32" s="27"/>
      <x:c r="O32" s="27"/>
      <x:c r="P32" s="27" t="n">
        <x:v>2210.428</x:v>
      </x:c>
      <x:c r="Q32" s="27" t="n">
        <x:v>4980.824</x:v>
      </x:c>
      <x:c r="R32" s="27"/>
      <x:c r="S32" s="27"/>
      <x:c r="T32" s="27"/>
      <x:c r="U32" s="27" t="n">
        <x:f>SUMIF('调用明细'!$A$2:$A$405,F32,'调用明细'!$H$2:$H$405)</x:f>
        <x:v>7191.2519999999995</x:v>
      </x:c>
      <x:c r="V32" s="27" t="n">
        <x:f>COUNTIF('调用明细'!$A$2:$A$405,F32)</x:f>
        <x:v>2</x:v>
      </x:c>
      <x:c r="W32" s="23" t="str">
        <x:v>缺少：AICO Tool Call - Skill、AICO Tool Call - Workflow、Recipe - DeepSeek、Recipe - Qwen总结</x:v>
      </x:c>
    </x:row>
    <x:row r="33" ht="42" customHeight="1">
      <x:c r="A33" s="23" t="s">
        <x:v>44</x:v>
      </x:c>
      <x:c r="B33" s="23" t="s">
        <x:v>49</x:v>
      </x:c>
      <x:c r="C33" s="23" t="s">
        <x:v>118</x:v>
      </x:c>
      <x:c r="D33" s="25" t="s">
        <x:v>119</x:v>
      </x:c>
      <x:c r="E33" s="25" t="s">
        <x:v>120</x:v>
      </x:c>
      <x:c r="F33" s="29" t="n">
        <x:v>32</x:v>
      </x:c>
      <x:c r="G33" s="23" t="str">
        <x:v>查询CBN-深圳大梅沙二U-H5H-0712这个NR小区的机械下倾角和电子下倾角</x:v>
      </x:c>
      <x:c r="H33" s="27" t="n">
        <x:v>3508.294</x:v>
      </x:c>
      <x:c r="I33" s="27"/>
      <x:c r="J33" s="27" t="n">
        <x:v>2549.353</x:v>
      </x:c>
      <x:c r="K33" s="27" t="n">
        <x:v>1729.572</x:v>
      </x:c>
      <x:c r="L33" s="27" t="n">
        <x:v>2178.236</x:v>
      </x:c>
      <x:c r="M33" s="27"/>
      <x:c r="N33" s="27"/>
      <x:c r="O33" s="27" t="n">
        <x:v>1392.097</x:v>
      </x:c>
      <x:c r="P33" s="27" t="n">
        <x:v>2434.226</x:v>
      </x:c>
      <x:c r="Q33" s="27" t="n">
        <x:v>3062.958</x:v>
      </x:c>
      <x:c r="R33" s="27"/>
      <x:c r="S33" s="27"/>
      <x:c r="T33" s="27"/>
      <x:c r="U33" s="27" t="n">
        <x:f>SUMIF('调用明细'!$A$2:$A$405,F33,'调用明细'!$H$2:$H$405)</x:f>
        <x:v>16854.736</x:v>
      </x:c>
      <x:c r="V33" s="27" t="n">
        <x:f>COUNTIF('调用明细'!$A$2:$A$405,F33)</x:f>
        <x:v>7</x:v>
      </x:c>
      <x:c r="W33" s="23" t="str">
        <x:v>完整</x:v>
      </x:c>
    </x:row>
    <x:row r="34" ht="42" customHeight="1">
      <x:c r="A34" s="23" t="s">
        <x:v>44</x:v>
      </x:c>
      <x:c r="B34" s="23" t="s">
        <x:v>53</x:v>
      </x:c>
      <x:c r="C34" s="23" t="s">
        <x:v>121</x:v>
      </x:c>
      <x:c r="D34" s="25" t="s">
        <x:v>122</x:v>
      </x:c>
      <x:c r="E34" s="25" t="s">
        <x:v>123</x:v>
      </x:c>
      <x:c r="F34" s="29" t="n">
        <x:v>33</x:v>
      </x:c>
      <x:c r="G34" s="23" t="str">
        <x:v>找出深圳奥特莱斯D-HRH和深圳梅沙湾二D-HRH这两个站点下5G小区的站点名称、经度和纬度</x:v>
      </x:c>
      <x:c r="H34" s="27" t="n">
        <x:v>3173.452</x:v>
      </x:c>
      <x:c r="I34" s="27"/>
      <x:c r="J34" s="27" t="n">
        <x:v>2856.278</x:v>
      </x:c>
      <x:c r="K34" s="27" t="n">
        <x:v>2212.092</x:v>
      </x:c>
      <x:c r="L34" s="27" t="n">
        <x:v>2600.707</x:v>
      </x:c>
      <x:c r="M34" s="27"/>
      <x:c r="N34" s="27"/>
      <x:c r="O34" s="27" t="n">
        <x:v>3972.543</x:v>
      </x:c>
      <x:c r="P34" s="27" t="n">
        <x:v>3565.45</x:v>
      </x:c>
      <x:c r="Q34" s="27" t="n">
        <x:v>3374.586</x:v>
      </x:c>
      <x:c r="R34" s="27"/>
      <x:c r="S34" s="27"/>
      <x:c r="T34" s="27"/>
      <x:c r="U34" s="27" t="n">
        <x:f>SUMIF('调用明细'!$A$2:$A$405,F34,'调用明细'!$H$2:$H$405)</x:f>
        <x:v>21755.108</x:v>
      </x:c>
      <x:c r="V34" s="27" t="n">
        <x:f>COUNTIF('调用明细'!$A$2:$A$405,F34)</x:f>
        <x:v>7</x:v>
      </x:c>
      <x:c r="W34" s="23" t="str">
        <x:v>完整</x:v>
      </x:c>
    </x:row>
    <x:row r="35" ht="42" customHeight="1">
      <x:c r="A35" s="23" t="s">
        <x:v>44</x:v>
      </x:c>
      <x:c r="B35" s="23" t="s">
        <x:v>124</x:v>
      </x:c>
      <x:c r="C35" s="23" t="s">
        <x:v>125</x:v>
      </x:c>
      <x:c r="D35" s="25" t="s">
        <x:v>126</x:v>
      </x:c>
      <x:c r="E35" s="25" t="s">
        <x:v>127</x:v>
      </x:c>
      <x:c r="F35" s="29" t="n">
        <x:v>34</x:v>
      </x:c>
      <x:c r="G35" s="23" t="str">
        <x:v>查询CBN-福州仓山-福州火车南站C-HRHH-521这个5G小区的小区标识和移动网号</x:v>
      </x:c>
      <x:c r="H35" s="27" t="n">
        <x:v>2537.255</x:v>
      </x:c>
      <x:c r="I35" s="27"/>
      <x:c r="J35" s="27" t="n">
        <x:v>2386.296</x:v>
      </x:c>
      <x:c r="K35" s="27" t="n">
        <x:v>1845.867</x:v>
      </x:c>
      <x:c r="L35" s="27" t="n">
        <x:v>1585.224</x:v>
      </x:c>
      <x:c r="M35" s="27"/>
      <x:c r="N35" s="27"/>
      <x:c r="O35" s="27" t="n">
        <x:v>1956.733</x:v>
      </x:c>
      <x:c r="P35" s="27" t="n">
        <x:v>2488.517</x:v>
      </x:c>
      <x:c r="Q35" s="27" t="n">
        <x:v>2762.88</x:v>
      </x:c>
      <x:c r="R35" s="27"/>
      <x:c r="S35" s="27"/>
      <x:c r="T35" s="27"/>
      <x:c r="U35" s="27" t="n">
        <x:f>SUMIF('调用明细'!$A$2:$A$405,F35,'调用明细'!$H$2:$H$405)</x:f>
        <x:v>15562.772</x:v>
      </x:c>
      <x:c r="V35" s="27" t="n">
        <x:f>COUNTIF('调用明细'!$A$2:$A$405,F35)</x:f>
        <x:v>7</x:v>
      </x:c>
      <x:c r="W35" s="23" t="str">
        <x:v>完整</x:v>
      </x:c>
    </x:row>
    <x:row r="36" ht="42" customHeight="1">
      <x:c r="A36" s="23" t="s">
        <x:v>44</x:v>
      </x:c>
      <x:c r="B36" s="23" t="s">
        <x:v>57</x:v>
      </x:c>
      <x:c r="C36" s="23" t="s">
        <x:v>128</x:v>
      </x:c>
      <x:c r="D36" s="25" t="s">
        <x:v>129</x:v>
      </x:c>
      <x:c r="E36" s="25" t="s">
        <x:v>130</x:v>
      </x:c>
      <x:c r="F36" s="29" t="n">
        <x:v>35</x:v>
      </x:c>
      <x:c r="G36" s="23" t="str">
        <x:v>查询CBN-深圳上威梅沙二U-H5H-0711和CBN-深圳东华风车U-H5H-0711这两个NR小区的方向角和天线高度</x:v>
      </x:c>
      <x:c r="H36" s="27" t="n">
        <x:v>2589.912</x:v>
      </x:c>
      <x:c r="I36" s="27"/>
      <x:c r="J36" s="27" t="n">
        <x:v>2475.369</x:v>
      </x:c>
      <x:c r="K36" s="27" t="n">
        <x:v>2483.264</x:v>
      </x:c>
      <x:c r="L36" s="27" t="n">
        <x:v>1738.598</x:v>
      </x:c>
      <x:c r="M36" s="27"/>
      <x:c r="N36" s="27"/>
      <x:c r="O36" s="27" t="n">
        <x:v>2851.635</x:v>
      </x:c>
      <x:c r="P36" s="27" t="n">
        <x:v>2978.944</x:v>
      </x:c>
      <x:c r="Q36" s="27" t="n">
        <x:v>3010.074</x:v>
      </x:c>
      <x:c r="R36" s="27"/>
      <x:c r="S36" s="27"/>
      <x:c r="T36" s="27"/>
      <x:c r="U36" s="27" t="n">
        <x:f>SUMIF('调用明细'!$A$2:$A$405,F36,'调用明细'!$H$2:$H$405)</x:f>
        <x:v>18127.796</x:v>
      </x:c>
      <x:c r="V36" s="27" t="n">
        <x:f>COUNTIF('调用明细'!$A$2:$A$405,F36)</x:f>
        <x:v>7</x:v>
      </x:c>
      <x:c r="W36" s="23" t="str">
        <x:v>完整</x:v>
      </x:c>
    </x:row>
    <x:row r="37" ht="42" customHeight="1">
      <x:c r="A37" s="23" t="s">
        <x:v>64</x:v>
      </x:c>
      <x:c r="B37" s="23" t="s">
        <x:v>65</x:v>
      </x:c>
      <x:c r="C37" s="23" t="s">
        <x:v>131</x:v>
      </x:c>
      <x:c r="D37" s="25" t="s">
        <x:v>132</x:v>
      </x:c>
      <x:c r="E37" s="25" t="s">
        <x:v>68</x:v>
      </x:c>
      <x:c r="F37" s="29" t="n">
        <x:v>36</x:v>
      </x:c>
      <x:c r="G37" s="23" t="str">
        <x:v>查询深圳大梅沙海滨公园D-HRW站点下，天线高度超过30米的小区，返回小区名称、天线高度和方位角</x:v>
      </x:c>
      <x:c r="H37" s="27" t="n">
        <x:v>2683.981</x:v>
      </x:c>
      <x:c r="I37" s="27"/>
      <x:c r="J37" s="27" t="n">
        <x:v>2376.467</x:v>
      </x:c>
      <x:c r="K37" s="27" t="n">
        <x:v>2443.315</x:v>
      </x:c>
      <x:c r="L37" s="27" t="n">
        <x:v>2931.294</x:v>
      </x:c>
      <x:c r="M37" s="27"/>
      <x:c r="N37" s="27"/>
      <x:c r="O37" s="27" t="n">
        <x:v>1331.454</x:v>
      </x:c>
      <x:c r="P37" s="27" t="n">
        <x:v>2402.721</x:v>
      </x:c>
      <x:c r="Q37" s="27" t="n">
        <x:v>3099.752</x:v>
      </x:c>
      <x:c r="R37" s="27"/>
      <x:c r="S37" s="27"/>
      <x:c r="T37" s="27"/>
      <x:c r="U37" s="27" t="n">
        <x:f>SUMIF('调用明细'!$A$2:$A$405,F37,'调用明细'!$H$2:$H$405)</x:f>
        <x:v>17268.984</x:v>
      </x:c>
      <x:c r="V37" s="27" t="n">
        <x:f>COUNTIF('调用明细'!$A$2:$A$405,F37)</x:f>
        <x:v>7</x:v>
      </x:c>
      <x:c r="W37" s="23" t="str">
        <x:v>完整</x:v>
      </x:c>
    </x:row>
    <x:row r="38" ht="42" customHeight="1">
      <x:c r="A38" s="23" t="s">
        <x:v>64</x:v>
      </x:c>
      <x:c r="B38" s="23" t="s">
        <x:v>133</x:v>
      </x:c>
      <x:c r="C38" s="23" t="s">
        <x:v>134</x:v>
      </x:c>
      <x:c r="D38" s="25" t="s">
        <x:v>135</x:v>
      </x:c>
      <x:c r="E38" s="25" t="s">
        <x:v>136</x:v>
      </x:c>
      <x:c r="F38" s="29" t="n">
        <x:v>37</x:v>
      </x:c>
      <x:c r="G38" s="23" t="str">
        <x:v>找出CBN-福州仓山-火车南站东南美化塔C-HRHH-518和CBN-福州仓山-福厦高铁鸡笼山隧道C-HRRH-513这两个5G小区中，机械下倾角在3到9之间的小区名称和机械下倾角</x:v>
      </x:c>
      <x:c r="H38" s="27" t="n">
        <x:v>2853.704</x:v>
      </x:c>
      <x:c r="I38" s="27"/>
      <x:c r="J38" s="27" t="n">
        <x:v>2805.627</x:v>
      </x:c>
      <x:c r="K38" s="27" t="n">
        <x:v>2687.487</x:v>
      </x:c>
      <x:c r="L38" s="27" t="n">
        <x:v>3066.863</x:v>
      </x:c>
      <x:c r="M38" s="27"/>
      <x:c r="N38" s="27"/>
      <x:c r="O38" s="27" t="n">
        <x:v>1725.188</x:v>
      </x:c>
      <x:c r="P38" s="27" t="n">
        <x:v>2921.66</x:v>
      </x:c>
      <x:c r="Q38" s="27" t="n">
        <x:v>2902.005</x:v>
      </x:c>
      <x:c r="R38" s="27"/>
      <x:c r="S38" s="27"/>
      <x:c r="T38" s="27"/>
      <x:c r="U38" s="27" t="n">
        <x:f>SUMIF('调用明细'!$A$2:$A$405,F38,'调用明细'!$H$2:$H$405)</x:f>
        <x:v>18962.534</x:v>
      </x:c>
      <x:c r="V38" s="27" t="n">
        <x:f>COUNTIF('调用明细'!$A$2:$A$405,F38)</x:f>
        <x:v>7</x:v>
      </x:c>
      <x:c r="W38" s="23" t="str">
        <x:v>完整</x:v>
      </x:c>
    </x:row>
    <x:row r="39" ht="42" customHeight="1">
      <x:c r="A39" s="23" t="s">
        <x:v>64</x:v>
      </x:c>
      <x:c r="B39" s="23" t="s">
        <x:v>137</x:v>
      </x:c>
      <x:c r="C39" s="23" t="s">
        <x:v>138</x:v>
      </x:c>
      <x:c r="D39" s="25" t="s">
        <x:v>139</x:v>
      </x:c>
      <x:c r="E39" s="25" t="s">
        <x:v>68</x:v>
      </x:c>
      <x:c r="F39" s="29" t="n">
        <x:v>38</x:v>
      </x:c>
      <x:c r="G39" s="23" t="str">
        <x:v>确认CBN-深圳梅沙湾U-H5H-0712小区，如果方位角等于180且电子下倾角不低于6，返回它的站点名称、方位角和电子下倾角</x:v>
      </x:c>
      <x:c r="H39" s="27" t="n">
        <x:v>2616.494</x:v>
      </x:c>
      <x:c r="I39" s="27"/>
      <x:c r="J39" s="27" t="n">
        <x:v>2520.483</x:v>
      </x:c>
      <x:c r="K39" s="27" t="n">
        <x:v>2080.489</x:v>
      </x:c>
      <x:c r="L39" s="27" t="n">
        <x:v>3133.721</x:v>
      </x:c>
      <x:c r="M39" s="27"/>
      <x:c r="N39" s="27"/>
      <x:c r="O39" s="27" t="n">
        <x:v>1776.053</x:v>
      </x:c>
      <x:c r="P39" s="27" t="n">
        <x:v>2953.493</x:v>
      </x:c>
      <x:c r="Q39" s="27" t="n">
        <x:v>3599.512</x:v>
      </x:c>
      <x:c r="R39" s="27"/>
      <x:c r="S39" s="27"/>
      <x:c r="T39" s="27"/>
      <x:c r="U39" s="27" t="n">
        <x:f>SUMIF('调用明细'!$A$2:$A$405,F39,'调用明细'!$H$2:$H$405)</x:f>
        <x:v>18680.245</x:v>
      </x:c>
      <x:c r="V39" s="27" t="n">
        <x:f>COUNTIF('调用明细'!$A$2:$A$405,F39)</x:f>
        <x:v>7</x:v>
      </x:c>
      <x:c r="W39" s="23" t="str">
        <x:v>完整</x:v>
      </x:c>
    </x:row>
    <x:row r="40" ht="42" customHeight="1">
      <x:c r="A40" s="23" t="s">
        <x:v>64</x:v>
      </x:c>
      <x:c r="B40" s="23" t="s">
        <x:v>140</x:v>
      </x:c>
      <x:c r="C40" s="23" t="s">
        <x:v>141</x:v>
      </x:c>
      <x:c r="D40" s="25" t="s">
        <x:v>142</x:v>
      </x:c>
      <x:c r="E40" s="25" t="s">
        <x:v>68</x:v>
      </x:c>
      <x:c r="F40" s="29" t="n">
        <x:v>39</x:v>
      </x:c>
      <x:c r="G40" s="23" t="str">
        <x:v>查询深圳东海岸三D-HRH和深圳奥特莱斯D-HRH这两个站点下，NR制式中方位角为90或270的小区，返回小区名称和方位角</x:v>
      </x:c>
      <x:c r="H40" s="27" t="n">
        <x:v>2687.346</x:v>
      </x:c>
      <x:c r="I40" s="27"/>
      <x:c r="J40" s="27" t="n">
        <x:v>2581.849</x:v>
      </x:c>
      <x:c r="K40" s="27" t="n">
        <x:v>2275.968</x:v>
      </x:c>
      <x:c r="L40" s="27" t="n">
        <x:v>2923.306</x:v>
      </x:c>
      <x:c r="M40" s="27"/>
      <x:c r="N40" s="27"/>
      <x:c r="O40" s="27" t="n">
        <x:v>1600.757</x:v>
      </x:c>
      <x:c r="P40" s="27" t="n">
        <x:v>2622.076</x:v>
      </x:c>
      <x:c r="Q40" s="27" t="n">
        <x:v>3101.235</x:v>
      </x:c>
      <x:c r="R40" s="27"/>
      <x:c r="S40" s="27"/>
      <x:c r="T40" s="27"/>
      <x:c r="U40" s="27" t="n">
        <x:f>SUMIF('调用明细'!$A$2:$A$405,F40,'调用明细'!$H$2:$H$405)</x:f>
        <x:v>17792.537</x:v>
      </x:c>
      <x:c r="V40" s="27" t="n">
        <x:f>COUNTIF('调用明细'!$A$2:$A$405,F40)</x:f>
        <x:v>7</x:v>
      </x:c>
      <x:c r="W40" s="23" t="str">
        <x:v>完整</x:v>
      </x:c>
    </x:row>
    <x:row r="41" ht="42" customHeight="1">
      <x:c r="A41" s="23" t="s">
        <x:v>64</x:v>
      </x:c>
      <x:c r="B41" s="23" t="s">
        <x:v>143</x:v>
      </x:c>
      <x:c r="C41" s="23" t="s">
        <x:v>144</x:v>
      </x:c>
      <x:c r="D41" s="25" t="s">
        <x:v>145</x:v>
      </x:c>
      <x:c r="E41" s="25" t="s">
        <x:v>146</x:v>
      </x:c>
      <x:c r="F41" s="29" t="n">
        <x:v>40</x:v>
      </x:c>
      <x:c r="G41" s="23" t="str">
        <x:v>帮我筛一下CBN-福州晋安-东浦新村4号楼C-HRHH-512小区，排除掉天线高度等于20米的情况，返回小区名称、天线高度和经度</x:v>
      </x:c>
      <x:c r="H41" s="27" t="n">
        <x:v>2675.066</x:v>
      </x:c>
      <x:c r="I41" s="27"/>
      <x:c r="J41" s="27" t="n">
        <x:v>2543.338</x:v>
      </x:c>
      <x:c r="K41" s="27" t="n">
        <x:v>2041.908</x:v>
      </x:c>
      <x:c r="L41" s="27" t="n">
        <x:v>1876.772</x:v>
      </x:c>
      <x:c r="M41" s="27"/>
      <x:c r="N41" s="27"/>
      <x:c r="O41" s="27" t="n">
        <x:v>3573.176</x:v>
      </x:c>
      <x:c r="P41" s="27" t="n">
        <x:v>3234.785</x:v>
      </x:c>
      <x:c r="Q41" s="27" t="n">
        <x:v>4211.593</x:v>
      </x:c>
      <x:c r="R41" s="27"/>
      <x:c r="S41" s="27"/>
      <x:c r="T41" s="27"/>
      <x:c r="U41" s="27" t="n">
        <x:f>SUMIF('调用明细'!$A$2:$A$405,F41,'调用明细'!$H$2:$H$405)</x:f>
        <x:v>20156.638</x:v>
      </x:c>
      <x:c r="V41" s="27" t="n">
        <x:f>COUNTIF('调用明细'!$A$2:$A$405,F41)</x:f>
        <x:v>7</x:v>
      </x:c>
      <x:c r="W41" s="23" t="str">
        <x:v>完整</x:v>
      </x:c>
    </x:row>
    <x:row r="42" ht="42" customHeight="1">
      <x:c r="A42" s="23" t="s">
        <x:v>5</x:v>
      </x:c>
      <x:c r="B42" s="23" t="s">
        <x:v>147</x:v>
      </x:c>
      <x:c r="C42" s="23" t="s">
        <x:v>148</x:v>
      </x:c>
      <x:c r="D42" s="25" t="s">
        <x:v>149</x:v>
      </x:c>
      <x:c r="E42" s="25" t="s">
        <x:v>150</x:v>
      </x:c>
      <x:c r="F42" s="29" t="n">
        <x:v>41</x:v>
      </x:c>
      <x:c r="G42" s="23" t="str">
        <x:v>未提取</x:v>
      </x:c>
      <x:c r="H42" s="27"/>
      <x:c r="I42" s="27"/>
      <x:c r="J42" s="27"/>
      <x:c r="K42" s="27"/>
      <x:c r="L42" s="27"/>
      <x:c r="M42" s="27"/>
      <x:c r="N42" s="27"/>
      <x:c r="O42" s="27"/>
      <x:c r="P42" s="27" t="n">
        <x:v>2242.05</x:v>
      </x:c>
      <x:c r="Q42" s="27" t="n">
        <x:v>3299.687</x:v>
      </x:c>
      <x:c r="R42" s="27"/>
      <x:c r="S42" s="27"/>
      <x:c r="T42" s="27"/>
      <x:c r="U42" s="27" t="n">
        <x:f>SUMIF('调用明细'!$A$2:$A$405,F42,'调用明细'!$H$2:$H$405)</x:f>
        <x:v>5541.737</x:v>
      </x:c>
      <x:c r="V42" s="27" t="n">
        <x:f>COUNTIF('调用明细'!$A$2:$A$405,F42)</x:f>
        <x:v>2</x:v>
      </x:c>
      <x:c r="W42" s="23" t="str">
        <x:v>缺少：AICO Tool Call - Skill、AICO Tool Call - Workflow、Recipe - DeepSeek、Recipe - Qwen总结</x:v>
      </x:c>
    </x:row>
    <x:row r="43" ht="42" customHeight="1">
      <x:c r="A43" s="23" t="s">
        <x:v>5</x:v>
      </x:c>
      <x:c r="B43" s="23" t="s">
        <x:v>151</x:v>
      </x:c>
      <x:c r="C43" s="23" t="s">
        <x:v>152</x:v>
      </x:c>
      <x:c r="D43" s="25" t="s">
        <x:v>153</x:v>
      </x:c>
      <x:c r="E43" s="25" t="s">
        <x:v>154</x:v>
      </x:c>
      <x:c r="F43" s="29" t="n">
        <x:v>42</x:v>
      </x:c>
      <x:c r="G43" s="23" t="str">
        <x:v>查询CBN-深圳梅沙湾二U-H5H站点下的小区名称和经度</x:v>
      </x:c>
      <x:c r="H43" s="27" t="n">
        <x:v>2456.557</x:v>
      </x:c>
      <x:c r="I43" s="27"/>
      <x:c r="J43" s="27" t="n">
        <x:v>3106.44</x:v>
      </x:c>
      <x:c r="K43" s="27" t="n">
        <x:v>1851.661</x:v>
      </x:c>
      <x:c r="L43" s="27" t="n">
        <x:v>2101.788</x:v>
      </x:c>
      <x:c r="M43" s="27"/>
      <x:c r="N43" s="27"/>
      <x:c r="O43" s="27" t="n">
        <x:v>3390.162</x:v>
      </x:c>
      <x:c r="P43" s="27" t="n">
        <x:v>3511.266</x:v>
      </x:c>
      <x:c r="Q43" s="27" t="n">
        <x:v>3677.185</x:v>
      </x:c>
      <x:c r="R43" s="27"/>
      <x:c r="S43" s="27"/>
      <x:c r="T43" s="27"/>
      <x:c r="U43" s="27" t="n">
        <x:f>SUMIF('调用明细'!$A$2:$A$405,F43,'调用明细'!$H$2:$H$405)</x:f>
        <x:v>20095.059</x:v>
      </x:c>
      <x:c r="V43" s="27" t="n">
        <x:f>COUNTIF('调用明细'!$A$2:$A$405,F43)</x:f>
        <x:v>7</x:v>
      </x:c>
      <x:c r="W43" s="23" t="str">
        <x:v>完整</x:v>
      </x:c>
    </x:row>
    <x:row r="44" ht="42" customHeight="1">
      <x:c r="A44" s="23" t="s">
        <x:v>5</x:v>
      </x:c>
      <x:c r="B44" s="23" t="s">
        <x:v>155</x:v>
      </x:c>
      <x:c r="C44" s="23" t="s">
        <x:v>156</x:v>
      </x:c>
      <x:c r="D44" s="25" t="s">
        <x:v>157</x:v>
      </x:c>
      <x:c r="E44" s="25" t="s">
        <x:v>158</x:v>
      </x:c>
      <x:c r="F44" s="29" t="n">
        <x:v>43</x:v>
      </x:c>
      <x:c r="G44" s="23" t="str">
        <x:v>查询CBN-福州晋安-东浦新村4号楼C-HRHH-513小区的电子下倾角和基站标识</x:v>
      </x:c>
      <x:c r="H44" s="27" t="n">
        <x:v>2568.217</x:v>
      </x:c>
      <x:c r="I44" s="27"/>
      <x:c r="J44" s="27" t="n">
        <x:v>2506.073</x:v>
      </x:c>
      <x:c r="K44" s="27" t="n">
        <x:v>2171.771</x:v>
      </x:c>
      <x:c r="L44" s="27" t="n">
        <x:v>1596.587</x:v>
      </x:c>
      <x:c r="M44" s="27"/>
      <x:c r="N44" s="27"/>
      <x:c r="O44" s="27" t="n">
        <x:v>2090.42</x:v>
      </x:c>
      <x:c r="P44" s="27" t="n">
        <x:v>2460.096</x:v>
      </x:c>
      <x:c r="Q44" s="27" t="n">
        <x:v>2981.828</x:v>
      </x:c>
      <x:c r="R44" s="27"/>
      <x:c r="S44" s="27"/>
      <x:c r="T44" s="27"/>
      <x:c r="U44" s="27" t="n">
        <x:f>SUMIF('调用明细'!$A$2:$A$405,F44,'调用明细'!$H$2:$H$405)</x:f>
        <x:v>16374.991999999998</x:v>
      </x:c>
      <x:c r="V44" s="27" t="n">
        <x:f>COUNTIF('调用明细'!$A$2:$A$405,F44)</x:f>
        <x:v>7</x:v>
      </x:c>
      <x:c r="W44" s="23" t="str">
        <x:v>完整</x:v>
      </x:c>
    </x:row>
    <x:row r="45" ht="42" customHeight="1">
      <x:c r="A45" s="23" t="s">
        <x:v>5</x:v>
      </x:c>
      <x:c r="B45" s="23" t="s">
        <x:v>159</x:v>
      </x:c>
      <x:c r="C45" s="23" t="s">
        <x:v>160</x:v>
      </x:c>
      <x:c r="D45" s="25" t="s">
        <x:v>161</x:v>
      </x:c>
      <x:c r="E45" s="25" t="s">
        <x:v>162</x:v>
      </x:c>
      <x:c r="F45" s="29" t="n">
        <x:v>44</x:v>
      </x:c>
      <x:c r="G45" s="23" t="str">
        <x:v>找出深圳大梅沙D-HRH-1小区的CGI和站点名称</x:v>
      </x:c>
      <x:c r="H45" s="27" t="n">
        <x:v>2519.058</x:v>
      </x:c>
      <x:c r="I45" s="27"/>
      <x:c r="J45" s="27" t="n">
        <x:v>2320.79</x:v>
      </x:c>
      <x:c r="K45" s="27" t="n">
        <x:v>1502.332</x:v>
      </x:c>
      <x:c r="L45" s="27" t="n">
        <x:v>1523.119</x:v>
      </x:c>
      <x:c r="M45" s="27"/>
      <x:c r="N45" s="27"/>
      <x:c r="O45" s="27" t="n">
        <x:v>1452.03</x:v>
      </x:c>
      <x:c r="P45" s="27" t="n">
        <x:v>2347.785</x:v>
      </x:c>
      <x:c r="Q45" s="27" t="n">
        <x:v>3028.368</x:v>
      </x:c>
      <x:c r="R45" s="27"/>
      <x:c r="S45" s="27"/>
      <x:c r="T45" s="27"/>
      <x:c r="U45" s="27" t="n">
        <x:f>SUMIF('调用明细'!$A$2:$A$405,F45,'调用明细'!$H$2:$H$405)</x:f>
        <x:v>14693.482</x:v>
      </x:c>
      <x:c r="V45" s="27" t="n">
        <x:f>COUNTIF('调用明细'!$A$2:$A$405,F45)</x:f>
        <x:v>7</x:v>
      </x:c>
      <x:c r="W45" s="23" t="str">
        <x:v>完整</x:v>
      </x:c>
    </x:row>
    <x:row r="46" ht="42" customHeight="1">
      <x:c r="A46" s="23" t="s">
        <x:v>5</x:v>
      </x:c>
      <x:c r="B46" s="23" t="s">
        <x:v>163</x:v>
      </x:c>
      <x:c r="C46" s="23" t="s">
        <x:v>164</x:v>
      </x:c>
      <x:c r="D46" s="25" t="s">
        <x:v>165</x:v>
      </x:c>
      <x:c r="E46" s="25" t="s">
        <x:v>166</x:v>
      </x:c>
      <x:c r="F46" s="29" t="n">
        <x:v>45</x:v>
      </x:c>
      <x:c r="G46" s="23" t="str">
        <x:v>查询深圳东华风车D-HRH站点下小区的方位角和移动网号</x:v>
      </x:c>
      <x:c r="H46" s="27" t="n">
        <x:v>2934.76</x:v>
      </x:c>
      <x:c r="I46" s="27"/>
      <x:c r="J46" s="27" t="n">
        <x:v>2440.887</x:v>
      </x:c>
      <x:c r="K46" s="27" t="n">
        <x:v>1778.372</x:v>
      </x:c>
      <x:c r="L46" s="27" t="n">
        <x:v>1529.756</x:v>
      </x:c>
      <x:c r="M46" s="27"/>
      <x:c r="N46" s="27"/>
      <x:c r="O46" s="27" t="n">
        <x:v>1691.13</x:v>
      </x:c>
      <x:c r="P46" s="27" t="n">
        <x:v>2849.902</x:v>
      </x:c>
      <x:c r="Q46" s="27" t="n">
        <x:v>3211.943</x:v>
      </x:c>
      <x:c r="R46" s="27"/>
      <x:c r="S46" s="27"/>
      <x:c r="T46" s="27"/>
      <x:c r="U46" s="27" t="n">
        <x:f>SUMIF('调用明细'!$A$2:$A$405,F46,'调用明细'!$H$2:$H$405)</x:f>
        <x:v>16436.750000000004</x:v>
      </x:c>
      <x:c r="V46" s="27" t="n">
        <x:f>COUNTIF('调用明细'!$A$2:$A$405,F46)</x:f>
        <x:v>7</x:v>
      </x:c>
      <x:c r="W46" s="23" t="str">
        <x:v>完整</x:v>
      </x:c>
    </x:row>
    <x:row r="47" ht="42" customHeight="1">
      <x:c r="A47" s="23" t="s">
        <x:v>26</x:v>
      </x:c>
      <x:c r="B47" s="23" t="s">
        <x:v>27</x:v>
      </x:c>
      <x:c r="C47" s="23" t="s">
        <x:v>167</x:v>
      </x:c>
      <x:c r="D47" s="25" t="s">
        <x:v>168</x:v>
      </x:c>
      <x:c r="E47" s="25" t="s">
        <x:v>169</x:v>
      </x:c>
      <x:c r="F47" s="29" t="n">
        <x:v>46</x:v>
      </x:c>
      <x:c r="G47" s="23" t="str">
        <x:v>查询深圳梅沙湾D-HRH-3和深圳梅沙湾二D-HRH-1这两个小区的方位角、电子下倾角以及设备厂商</x:v>
      </x:c>
      <x:c r="H47" s="27" t="n">
        <x:v>2977.15</x:v>
      </x:c>
      <x:c r="I47" s="27"/>
      <x:c r="J47" s="27" t="n">
        <x:v>2432.42</x:v>
      </x:c>
      <x:c r="K47" s="27" t="n">
        <x:v>1777.729</x:v>
      </x:c>
      <x:c r="L47" s="27" t="n">
        <x:v>1606.142</x:v>
      </x:c>
      <x:c r="M47" s="27"/>
      <x:c r="N47" s="27"/>
      <x:c r="O47" s="27" t="n">
        <x:v>1660.626</x:v>
      </x:c>
      <x:c r="P47" s="27" t="n">
        <x:v>2936.469</x:v>
      </x:c>
      <x:c r="Q47" s="27" t="n">
        <x:v>3204.013</x:v>
      </x:c>
      <x:c r="R47" s="27"/>
      <x:c r="S47" s="27"/>
      <x:c r="T47" s="27"/>
      <x:c r="U47" s="27" t="n">
        <x:f>SUMIF('调用明细'!$A$2:$A$405,F47,'调用明细'!$H$2:$H$405)</x:f>
        <x:v>16594.549</x:v>
      </x:c>
      <x:c r="V47" s="27" t="n">
        <x:f>COUNTIF('调用明细'!$A$2:$A$405,F47)</x:f>
        <x:v>7</x:v>
      </x:c>
      <x:c r="W47" s="23" t="str">
        <x:v>完整</x:v>
      </x:c>
    </x:row>
    <x:row r="48" ht="42" customHeight="1">
      <x:c r="A48" s="23" t="s">
        <x:v>26</x:v>
      </x:c>
      <x:c r="B48" s="23" t="s">
        <x:v>31</x:v>
      </x:c>
      <x:c r="C48" s="23" t="s">
        <x:v>170</x:v>
      </x:c>
      <x:c r="D48" s="25" t="s">
        <x:v>171</x:v>
      </x:c>
      <x:c r="E48" s="25" t="s">
        <x:v>172</x:v>
      </x:c>
      <x:c r="F48" s="29" t="n">
        <x:v>47</x:v>
      </x:c>
      <x:c r="G48" s="23" t="str">
        <x:v>查询CBN-深圳大梅沙U-H5H和深圳大梅沙二D-HRH这两个站点下小区的纬度、机械下倾角和小区标识</x:v>
      </x:c>
      <x:c r="H48" s="27" t="n">
        <x:v>2609.87</x:v>
      </x:c>
      <x:c r="I48" s="27"/>
      <x:c r="J48" s="27" t="n">
        <x:v>2470.995</x:v>
      </x:c>
      <x:c r="K48" s="27" t="n">
        <x:v>1804.702</x:v>
      </x:c>
      <x:c r="L48" s="27" t="n">
        <x:v>1981.209</x:v>
      </x:c>
      <x:c r="M48" s="27"/>
      <x:c r="N48" s="27"/>
      <x:c r="O48" s="27" t="n">
        <x:v>1925.51</x:v>
      </x:c>
      <x:c r="P48" s="27" t="n">
        <x:v>3559.696</x:v>
      </x:c>
      <x:c r="Q48" s="27" t="n">
        <x:v>3278.173</x:v>
      </x:c>
      <x:c r="R48" s="27" t="n">
        <x:v>2128.926</x:v>
      </x:c>
      <x:c r="S48" s="27" t="n">
        <x:v>1999.4</x:v>
      </x:c>
      <x:c r="T48" s="27"/>
      <x:c r="U48" s="27" t="n">
        <x:f>SUMIF('调用明细'!$A$2:$A$405,F48,'调用明细'!$H$2:$H$405)</x:f>
        <x:v>21758.480999999996</x:v>
      </x:c>
      <x:c r="V48" s="27" t="n">
        <x:f>COUNTIF('调用明细'!$A$2:$A$405,F48)</x:f>
        <x:v>9</x:v>
      </x:c>
      <x:c r="W48" s="23" t="str">
        <x:v>完整</x:v>
      </x:c>
    </x:row>
    <x:row r="49" ht="42" customHeight="1">
      <x:c r="A49" s="23" t="s">
        <x:v>26</x:v>
      </x:c>
      <x:c r="B49" s="23" t="s">
        <x:v>173</x:v>
      </x:c>
      <x:c r="C49" s="23" t="s">
        <x:v>174</x:v>
      </x:c>
      <x:c r="D49" s="25" t="s">
        <x:v>175</x:v>
      </x:c>
      <x:c r="E49" s="25" t="s">
        <x:v>176</x:v>
      </x:c>
      <x:c r="F49" s="29" t="n">
        <x:v>48</x:v>
      </x:c>
      <x:c r="G49" s="23" t="str">
        <x:v>对比CBN-福州仓山-福厦高铁鸡笼山隧道C-HRRH-513、CBN-福州仓山-火车南站东南美化塔C-HRHH-518和CBN-福州仓山-永南路与站后路交叉口C-HRHH-516这三个小区的基站标识、移动网号和天线高度</x:v>
      </x:c>
      <x:c r="H49" s="27" t="n">
        <x:v>2841.384</x:v>
      </x:c>
      <x:c r="I49" s="27" t="n">
        <x:v>3117.846</x:v>
      </x:c>
      <x:c r="J49" s="27" t="n">
        <x:v>2799.735</x:v>
      </x:c>
      <x:c r="K49" s="27" t="n">
        <x:v>2387.369</x:v>
      </x:c>
      <x:c r="L49" s="27" t="n">
        <x:v>1940.991</x:v>
      </x:c>
      <x:c r="M49" s="27"/>
      <x:c r="N49" s="27"/>
      <x:c r="O49" s="27" t="n">
        <x:v>2451.522</x:v>
      </x:c>
      <x:c r="P49" s="27" t="n">
        <x:v>4566.948</x:v>
      </x:c>
      <x:c r="Q49" s="27" t="n">
        <x:v>2980.834</x:v>
      </x:c>
      <x:c r="R49" s="27"/>
      <x:c r="S49" s="27"/>
      <x:c r="T49" s="27"/>
      <x:c r="U49" s="27" t="n">
        <x:f>SUMIF('调用明细'!$A$2:$A$405,F49,'调用明细'!$H$2:$H$405)</x:f>
        <x:v>23086.628999999997</x:v>
      </x:c>
      <x:c r="V49" s="27" t="n">
        <x:f>COUNTIF('调用明细'!$A$2:$A$405,F49)</x:f>
        <x:v>8</x:v>
      </x:c>
      <x:c r="W49" s="23" t="str">
        <x:v>完整</x:v>
      </x:c>
    </x:row>
    <x:row r="50" ht="42" customHeight="1">
      <x:c r="A50" s="23" t="s">
        <x:v>26</x:v>
      </x:c>
      <x:c r="B50" s="23" t="s">
        <x:v>177</x:v>
      </x:c>
      <x:c r="C50" s="23" t="s">
        <x:v>178</x:v>
      </x:c>
      <x:c r="D50" s="25" t="s">
        <x:v>179</x:v>
      </x:c>
      <x:c r="E50" s="25" t="s">
        <x:v>180</x:v>
      </x:c>
      <x:c r="F50" s="29" t="n">
        <x:v>49</x:v>
      </x:c>
      <x:c r="G50" s="23" t="str">
        <x:v>找出深圳东海岸三D-HRH-1和深圳奥特莱斯D-HRH-3小区的经度和站点名称</x:v>
      </x:c>
      <x:c r="H50" s="27" t="n">
        <x:v>3028.11</x:v>
      </x:c>
      <x:c r="I50" s="27"/>
      <x:c r="J50" s="27" t="n">
        <x:v>2355.505</x:v>
      </x:c>
      <x:c r="K50" s="27" t="n">
        <x:v>1718.053</x:v>
      </x:c>
      <x:c r="L50" s="27" t="n">
        <x:v>1587.672</x:v>
      </x:c>
      <x:c r="M50" s="27"/>
      <x:c r="N50" s="27"/>
      <x:c r="O50" s="27" t="n">
        <x:v>1571.126</x:v>
      </x:c>
      <x:c r="P50" s="27" t="n">
        <x:v>2646.097</x:v>
      </x:c>
      <x:c r="Q50" s="27" t="n">
        <x:v>2806.981</x:v>
      </x:c>
      <x:c r="R50" s="27"/>
      <x:c r="S50" s="27"/>
      <x:c r="T50" s="27"/>
      <x:c r="U50" s="27" t="n">
        <x:f>SUMIF('调用明细'!$A$2:$A$405,F50,'调用明细'!$H$2:$H$405)</x:f>
        <x:v>15713.544</x:v>
      </x:c>
      <x:c r="V50" s="27" t="n">
        <x:f>COUNTIF('调用明细'!$A$2:$A$405,F50)</x:f>
        <x:v>7</x:v>
      </x:c>
      <x:c r="W50" s="23" t="str">
        <x:v>完整</x:v>
      </x:c>
    </x:row>
    <x:row r="51" ht="42" customHeight="1">
      <x:c r="A51" s="23" t="s">
        <x:v>26</x:v>
      </x:c>
      <x:c r="B51" s="23" t="s">
        <x:v>31</x:v>
      </x:c>
      <x:c r="C51" s="23" t="s">
        <x:v>181</x:v>
      </x:c>
      <x:c r="D51" s="25" t="s">
        <x:v>182</x:v>
      </x:c>
      <x:c r="E51" s="25" t="s">
        <x:v>183</x:v>
      </x:c>
      <x:c r="F51" s="29" t="n">
        <x:v>50</x:v>
      </x:c>
      <x:c r="G51" s="23" t="str">
        <x:v>查询CBN-福州马尾-高铁鼓山1号隧道出口（左侧）C-HRRH和CBN-深圳东华风车U-H5H这两个站点下小区的方位角、电子下倾角和机械下倾角</x:v>
      </x:c>
      <x:c r="H51" s="27" t="n">
        <x:v>2676.192</x:v>
      </x:c>
      <x:c r="I51" s="27"/>
      <x:c r="J51" s="27" t="n">
        <x:v>2653.978</x:v>
      </x:c>
      <x:c r="K51" s="27" t="n">
        <x:v>2063.739</x:v>
      </x:c>
      <x:c r="L51" s="27" t="n">
        <x:v>1739.347</x:v>
      </x:c>
      <x:c r="M51" s="27"/>
      <x:c r="N51" s="27"/>
      <x:c r="O51" s="27" t="n">
        <x:v>2501.888</x:v>
      </x:c>
      <x:c r="P51" s="27" t="n">
        <x:v>3885.217</x:v>
      </x:c>
      <x:c r="Q51" s="27" t="n">
        <x:v>4604.005</x:v>
      </x:c>
      <x:c r="R51" s="27"/>
      <x:c r="S51" s="27"/>
      <x:c r="T51" s="27"/>
      <x:c r="U51" s="27" t="n">
        <x:f>SUMIF('调用明细'!$A$2:$A$405,F51,'调用明细'!$H$2:$H$405)</x:f>
        <x:v>20124.366</x:v>
      </x:c>
      <x:c r="V51" s="27" t="n">
        <x:f>COUNTIF('调用明细'!$A$2:$A$405,F51)</x:f>
        <x:v>7</x:v>
      </x:c>
      <x:c r="W51" s="23" t="str">
        <x:v>完整</x:v>
      </x:c>
    </x:row>
    <x:row r="52" ht="42" customHeight="1">
      <x:c r="A52" s="23" t="s">
        <x:v>44</x:v>
      </x:c>
      <x:c r="B52" s="23" t="s">
        <x:v>45</x:v>
      </x:c>
      <x:c r="C52" s="23" t="s">
        <x:v>184</x:v>
      </x:c>
      <x:c r="D52" s="25" t="s">
        <x:v>185</x:v>
      </x:c>
      <x:c r="E52" s="25" t="s">
        <x:v>186</x:v>
      </x:c>
      <x:c r="F52" s="29" t="n">
        <x:v>51</x:v>
      </x:c>
      <x:c r="G52" s="23" t="str">
        <x:v>查询深圳大梅沙D-HRH站点下5G小区的方位角和电子下倾角</x:v>
      </x:c>
      <x:c r="H52" s="27" t="n">
        <x:v>2419.502</x:v>
      </x:c>
      <x:c r="I52" s="27"/>
      <x:c r="J52" s="27" t="n">
        <x:v>2465.7</x:v>
      </x:c>
      <x:c r="K52" s="27" t="n">
        <x:v>1520.348</x:v>
      </x:c>
      <x:c r="L52" s="27" t="n">
        <x:v>1647.41</x:v>
      </x:c>
      <x:c r="M52" s="27"/>
      <x:c r="N52" s="27"/>
      <x:c r="O52" s="27" t="n">
        <x:v>2539.471</x:v>
      </x:c>
      <x:c r="P52" s="27" t="n">
        <x:v>3472.34</x:v>
      </x:c>
      <x:c r="Q52" s="27" t="n">
        <x:v>3339.655</x:v>
      </x:c>
      <x:c r="R52" s="27"/>
      <x:c r="S52" s="27"/>
      <x:c r="T52" s="27"/>
      <x:c r="U52" s="27" t="n">
        <x:f>SUMIF('调用明细'!$A$2:$A$405,F52,'调用明细'!$H$2:$H$405)</x:f>
        <x:v>17404.426</x:v>
      </x:c>
      <x:c r="V52" s="27" t="n">
        <x:f>COUNTIF('调用明细'!$A$2:$A$405,F52)</x:f>
        <x:v>7</x:v>
      </x:c>
      <x:c r="W52" s="23" t="str">
        <x:v>完整</x:v>
      </x:c>
    </x:row>
    <x:row r="53" ht="42" customHeight="1">
      <x:c r="A53" s="23" t="s">
        <x:v>44</x:v>
      </x:c>
      <x:c r="B53" s="23" t="s">
        <x:v>49</x:v>
      </x:c>
      <x:c r="C53" s="23" t="s">
        <x:v>187</x:v>
      </x:c>
      <x:c r="D53" s="25" t="s">
        <x:v>188</x:v>
      </x:c>
      <x:c r="E53" s="25" t="s">
        <x:v>189</x:v>
      </x:c>
      <x:c r="F53" s="29" t="n">
        <x:v>52</x:v>
      </x:c>
      <x:c r="G53" s="23" t="str">
        <x:v>查询CBN-深圳梅沙湾U-H5H-0711这个NR小区的站点名称和纬度</x:v>
      </x:c>
      <x:c r="H53" s="27" t="n">
        <x:v>2502.077</x:v>
      </x:c>
      <x:c r="I53" s="27"/>
      <x:c r="J53" s="27" t="n">
        <x:v>2379.372</x:v>
      </x:c>
      <x:c r="K53" s="27" t="n">
        <x:v>1601.115</x:v>
      </x:c>
      <x:c r="L53" s="27" t="n">
        <x:v>1554.203</x:v>
      </x:c>
      <x:c r="M53" s="27"/>
      <x:c r="N53" s="27"/>
      <x:c r="O53" s="27" t="n">
        <x:v>1555.232</x:v>
      </x:c>
      <x:c r="P53" s="27" t="n">
        <x:v>2428.323</x:v>
      </x:c>
      <x:c r="Q53" s="27" t="n">
        <x:v>3082.335</x:v>
      </x:c>
      <x:c r="R53" s="27"/>
      <x:c r="S53" s="27"/>
      <x:c r="T53" s="27"/>
      <x:c r="U53" s="27" t="n">
        <x:f>SUMIF('调用明细'!$A$2:$A$405,F53,'调用明细'!$H$2:$H$405)</x:f>
        <x:v>15102.657</x:v>
      </x:c>
      <x:c r="V53" s="27" t="n">
        <x:f>COUNTIF('调用明细'!$A$2:$A$405,F53)</x:f>
        <x:v>7</x:v>
      </x:c>
      <x:c r="W53" s="23" t="str">
        <x:v>完整</x:v>
      </x:c>
    </x:row>
    <x:row r="54" ht="42" customHeight="1">
      <x:c r="A54" s="23" t="s">
        <x:v>44</x:v>
      </x:c>
      <x:c r="B54" s="23" t="s">
        <x:v>190</x:v>
      </x:c>
      <x:c r="C54" s="23" t="s">
        <x:v>191</x:v>
      </x:c>
      <x:c r="D54" s="25" t="s">
        <x:v>192</x:v>
      </x:c>
      <x:c r="E54" s="25" t="s">
        <x:v>193</x:v>
      </x:c>
      <x:c r="F54" s="29" t="n">
        <x:v>53</x:v>
      </x:c>
      <x:c r="G54" s="23" t="str">
        <x:v>未提取</x:v>
      </x:c>
      <x:c r="H54" s="27"/>
      <x:c r="I54" s="27"/>
      <x:c r="J54" s="27"/>
      <x:c r="K54" s="27"/>
      <x:c r="L54" s="27"/>
      <x:c r="M54" s="27"/>
      <x:c r="N54" s="27"/>
      <x:c r="O54" s="27"/>
      <x:c r="P54" s="27" t="n">
        <x:v>2340.012</x:v>
      </x:c>
      <x:c r="Q54" s="27" t="n">
        <x:v>1136.358</x:v>
      </x:c>
      <x:c r="R54" s="27"/>
      <x:c r="S54" s="27"/>
      <x:c r="T54" s="27"/>
      <x:c r="U54" s="27" t="n">
        <x:f>SUMIF('调用明细'!$A$2:$A$405,F54,'调用明细'!$H$2:$H$405)</x:f>
        <x:v>3476.37</x:v>
      </x:c>
      <x:c r="V54" s="27" t="n">
        <x:f>COUNTIF('调用明细'!$A$2:$A$405,F54)</x:f>
        <x:v>2</x:v>
      </x:c>
      <x:c r="W54" s="23" t="str">
        <x:v>缺少：AICO Tool Call - Skill、AICO Tool Call - Workflow、Recipe - DeepSeek、Recipe - Qwen总结</x:v>
      </x:c>
    </x:row>
    <x:row r="55" ht="42" customHeight="1">
      <x:c r="A55" s="23" t="s">
        <x:v>44</x:v>
      </x:c>
      <x:c r="B55" s="23" t="s">
        <x:v>194</x:v>
      </x:c>
      <x:c r="C55" s="23" t="s">
        <x:v>195</x:v>
      </x:c>
      <x:c r="D55" s="25" t="s">
        <x:v>196</x:v>
      </x:c>
      <x:c r="E55" s="25" t="s">
        <x:v>197</x:v>
      </x:c>
      <x:c r="F55" s="29" t="n">
        <x:v>54</x:v>
      </x:c>
      <x:c r="G55" s="23" t="str">
        <x:v>确认CBN-福州仓山-福州南站火车南站西北美化塔C-HRRH站点下NR小区的移动国家码和小区名称</x:v>
      </x:c>
      <x:c r="H55" s="27" t="n">
        <x:v>2342.178</x:v>
      </x:c>
      <x:c r="I55" s="27"/>
      <x:c r="J55" s="27" t="n">
        <x:v>2424.147</x:v>
      </x:c>
      <x:c r="K55" s="27" t="n">
        <x:v>2345.403</x:v>
      </x:c>
      <x:c r="L55" s="27" t="n">
        <x:v>1705.654</x:v>
      </x:c>
      <x:c r="M55" s="27"/>
      <x:c r="N55" s="27"/>
      <x:c r="O55" s="27" t="n">
        <x:v>2525.981</x:v>
      </x:c>
      <x:c r="P55" s="27" t="n">
        <x:v>2156.598</x:v>
      </x:c>
      <x:c r="Q55" s="27" t="n">
        <x:v>3130.561</x:v>
      </x:c>
      <x:c r="R55" s="27"/>
      <x:c r="S55" s="27"/>
      <x:c r="T55" s="27"/>
      <x:c r="U55" s="27" t="n">
        <x:f>SUMIF('调用明细'!$A$2:$A$405,F55,'调用明细'!$H$2:$H$405)</x:f>
        <x:v>16630.522</x:v>
      </x:c>
      <x:c r="V55" s="27" t="n">
        <x:f>COUNTIF('调用明细'!$A$2:$A$405,F55)</x:f>
        <x:v>7</x:v>
      </x:c>
      <x:c r="W55" s="23" t="str">
        <x:v>完整</x:v>
      </x:c>
    </x:row>
    <x:row r="56" ht="42" customHeight="1">
      <x:c r="A56" s="23" t="s">
        <x:v>44</x:v>
      </x:c>
      <x:c r="B56" s="23" t="s">
        <x:v>124</x:v>
      </x:c>
      <x:c r="C56" s="23" t="s">
        <x:v>198</x:v>
      </x:c>
      <x:c r="D56" s="25" t="s">
        <x:v>199</x:v>
      </x:c>
      <x:c r="E56" s="25" t="s">
        <x:v>200</x:v>
      </x:c>
      <x:c r="F56" s="29" t="n">
        <x:v>55</x:v>
      </x:c>
      <x:c r="G56" s="23" t="str">
        <x:v>查询深圳东海岸三D-HRH-1这个5G小区的方位角、电子下倾角和站点名称</x:v>
      </x:c>
      <x:c r="H56" s="27" t="n">
        <x:v>2938.673</x:v>
      </x:c>
      <x:c r="I56" s="27"/>
      <x:c r="J56" s="27" t="n">
        <x:v>2374.934</x:v>
      </x:c>
      <x:c r="K56" s="27" t="n">
        <x:v>2196.267</x:v>
      </x:c>
      <x:c r="L56" s="27" t="n">
        <x:v>1558.75</x:v>
      </x:c>
      <x:c r="M56" s="27"/>
      <x:c r="N56" s="27"/>
      <x:c r="O56" s="27" t="n">
        <x:v>2228.385</x:v>
      </x:c>
      <x:c r="P56" s="27" t="n">
        <x:v>2622.056</x:v>
      </x:c>
      <x:c r="Q56" s="27" t="n">
        <x:v>3216.847</x:v>
      </x:c>
      <x:c r="R56" s="27"/>
      <x:c r="S56" s="27"/>
      <x:c r="T56" s="27"/>
      <x:c r="U56" s="27" t="n">
        <x:f>SUMIF('调用明细'!$A$2:$A$405,F56,'调用明细'!$H$2:$H$405)</x:f>
        <x:v>17135.912</x:v>
      </x:c>
      <x:c r="V56" s="27" t="n">
        <x:f>COUNTIF('调用明细'!$A$2:$A$405,F56)</x:f>
        <x:v>7</x:v>
      </x:c>
      <x:c r="W56" s="23" t="str">
        <x:v>完整</x:v>
      </x:c>
    </x:row>
    <x:row r="57" ht="42" customHeight="1">
      <x:c r="A57" s="23" t="s">
        <x:v>64</x:v>
      </x:c>
      <x:c r="B57" s="23" t="s">
        <x:v>65</x:v>
      </x:c>
      <x:c r="C57" s="23" t="s">
        <x:v>201</x:v>
      </x:c>
      <x:c r="D57" s="25" t="s">
        <x:v>202</x:v>
      </x:c>
      <x:c r="E57" s="25" t="s">
        <x:v>68</x:v>
      </x:c>
      <x:c r="F57" s="29" t="n">
        <x:v>56</x:v>
      </x:c>
      <x:c r="G57" s="23" t="str">
        <x:v>查询深圳大梅沙D-HRH站点下天线高度大于30米的小区，返回小区名称、天线高度和方位角</x:v>
      </x:c>
      <x:c r="H57" s="27" t="n">
        <x:v>2641.965</x:v>
      </x:c>
      <x:c r="I57" s="27"/>
      <x:c r="J57" s="27" t="n">
        <x:v>2382.262</x:v>
      </x:c>
      <x:c r="K57" s="27" t="n">
        <x:v>2367.556</x:v>
      </x:c>
      <x:c r="L57" s="27" t="n">
        <x:v>1786.156</x:v>
      </x:c>
      <x:c r="M57" s="27"/>
      <x:c r="N57" s="27"/>
      <x:c r="O57" s="27" t="n">
        <x:v>2318.806</x:v>
      </x:c>
      <x:c r="P57" s="27" t="n">
        <x:v>2423.1</x:v>
      </x:c>
      <x:c r="Q57" s="27" t="n">
        <x:v>3185.787</x:v>
      </x:c>
      <x:c r="R57" s="27"/>
      <x:c r="S57" s="27"/>
      <x:c r="T57" s="27"/>
      <x:c r="U57" s="27" t="n">
        <x:f>SUMIF('调用明细'!$A$2:$A$405,F57,'调用明细'!$H$2:$H$405)</x:f>
        <x:v>17105.632</x:v>
      </x:c>
      <x:c r="V57" s="27" t="n">
        <x:f>COUNTIF('调用明细'!$A$2:$A$405,F57)</x:f>
        <x:v>7</x:v>
      </x:c>
      <x:c r="W57" s="23" t="str">
        <x:v>完整</x:v>
      </x:c>
    </x:row>
    <x:row r="58" ht="42" customHeight="1">
      <x:c r="A58" s="23" t="s">
        <x:v>64</x:v>
      </x:c>
      <x:c r="B58" s="23" t="s">
        <x:v>69</x:v>
      </x:c>
      <x:c r="C58" s="23" t="s">
        <x:v>203</x:v>
      </x:c>
      <x:c r="D58" s="25" t="s">
        <x:v>204</x:v>
      </x:c>
      <x:c r="E58" s="25" t="s">
        <x:v>68</x:v>
      </x:c>
      <x:c r="F58" s="29" t="n">
        <x:v>57</x:v>
      </x:c>
      <x:c r="G58" s="23" t="str">
        <x:v>找出深圳梅沙湾D-HRH-2和深圳大梅沙D-HRH-1这两个5G小区中，方位角在90到180度之间的，返回小区名称、方位角和经度</x:v>
      </x:c>
      <x:c r="H58" s="27" t="n">
        <x:v>3776.701</x:v>
      </x:c>
      <x:c r="I58" s="27"/>
      <x:c r="J58" s="27" t="n">
        <x:v>2643.434</x:v>
      </x:c>
      <x:c r="K58" s="27" t="n">
        <x:v>2405.342</x:v>
      </x:c>
      <x:c r="L58" s="27" t="n">
        <x:v>3156.6</x:v>
      </x:c>
      <x:c r="M58" s="27"/>
      <x:c r="N58" s="27"/>
      <x:c r="O58" s="27" t="n">
        <x:v>1698.182</x:v>
      </x:c>
      <x:c r="P58" s="27" t="n">
        <x:v>2672.603</x:v>
      </x:c>
      <x:c r="Q58" s="27" t="n">
        <x:v>3501.945</x:v>
      </x:c>
      <x:c r="R58" s="27"/>
      <x:c r="S58" s="27"/>
      <x:c r="T58" s="27"/>
      <x:c r="U58" s="27" t="n">
        <x:f>SUMIF('调用明细'!$A$2:$A$405,F58,'调用明细'!$H$2:$H$405)</x:f>
        <x:v>19854.807</x:v>
      </x:c>
      <x:c r="V58" s="27" t="n">
        <x:f>COUNTIF('调用明细'!$A$2:$A$405,F58)</x:f>
        <x:v>7</x:v>
      </x:c>
      <x:c r="W58" s="23" t="str">
        <x:v>完整</x:v>
      </x:c>
    </x:row>
    <x:row r="59" ht="42" customHeight="1">
      <x:c r="A59" s="23" t="s">
        <x:v>64</x:v>
      </x:c>
      <x:c r="B59" s="23" t="s">
        <x:v>73</x:v>
      </x:c>
      <x:c r="C59" s="23" t="s">
        <x:v>205</x:v>
      </x:c>
      <x:c r="D59" s="25" t="s">
        <x:v>206</x:v>
      </x:c>
      <x:c r="E59" s="25" t="s">
        <x:v>68</x:v>
      </x:c>
      <x:c r="F59" s="29" t="n">
        <x:v>58</x:v>
      </x:c>
      <x:c r="G59" s="23" t="str">
        <x:v>查询CBN-深圳梅沙湾U-H5H站点下机械下倾角等于6且电子下倾角不超过9的小区，返回小区名称、机械下倾角和电子下倾角</x:v>
      </x:c>
      <x:c r="H59" s="27" t="n">
        <x:v>3830.671</x:v>
      </x:c>
      <x:c r="I59" s="27"/>
      <x:c r="J59" s="27" t="n">
        <x:v>3345.115</x:v>
      </x:c>
      <x:c r="K59" s="27" t="n">
        <x:v>1801.728</x:v>
      </x:c>
      <x:c r="L59" s="27" t="n">
        <x:v>1993.798</x:v>
      </x:c>
      <x:c r="M59" s="27"/>
      <x:c r="N59" s="27"/>
      <x:c r="O59" s="27" t="n">
        <x:v>2550.572</x:v>
      </x:c>
      <x:c r="P59" s="27" t="n">
        <x:v>2532.867</x:v>
      </x:c>
      <x:c r="Q59" s="27" t="n">
        <x:v>3301.727</x:v>
      </x:c>
      <x:c r="R59" s="27"/>
      <x:c r="S59" s="27"/>
      <x:c r="T59" s="27"/>
      <x:c r="U59" s="27" t="n">
        <x:f>SUMIF('调用明细'!$A$2:$A$405,F59,'调用明细'!$H$2:$H$405)</x:f>
        <x:v>19356.478</x:v>
      </x:c>
      <x:c r="V59" s="27" t="n">
        <x:f>COUNTIF('调用明细'!$A$2:$A$405,F59)</x:f>
        <x:v>7</x:v>
      </x:c>
      <x:c r="W59" s="23" t="str">
        <x:v>完整</x:v>
      </x:c>
    </x:row>
    <x:row r="60" ht="42" customHeight="1">
      <x:c r="A60" s="23" t="s">
        <x:v>64</x:v>
      </x:c>
      <x:c r="B60" s="23" t="s">
        <x:v>207</x:v>
      </x:c>
      <x:c r="C60" s="23" t="s">
        <x:v>208</x:v>
      </x:c>
      <x:c r="D60" s="25" t="s">
        <x:v>209</x:v>
      </x:c>
      <x:c r="E60" s="25" t="s">
        <x:v>68</x:v>
      </x:c>
      <x:c r="F60" s="29" t="n">
        <x:v>59</x:v>
      </x:c>
      <x:c r="G60" s="23" t="str">
        <x:v>确认CBN-深圳东华风车U-H5H-0711小区，如果方位角是0或者180，返回它的基站标识、移动网号和方位角</x:v>
      </x:c>
      <x:c r="H60" s="27" t="n">
        <x:v>2561.077</x:v>
      </x:c>
      <x:c r="I60" s="27"/>
      <x:c r="J60" s="27" t="n">
        <x:v>3090.784</x:v>
      </x:c>
      <x:c r="K60" s="27" t="n">
        <x:v>1710.908</x:v>
      </x:c>
      <x:c r="L60" s="27" t="n">
        <x:v>2022.242</x:v>
      </x:c>
      <x:c r="M60" s="27"/>
      <x:c r="N60" s="27"/>
      <x:c r="O60" s="27" t="n">
        <x:v>2829.048</x:v>
      </x:c>
      <x:c r="P60" s="27" t="n">
        <x:v>2627.175</x:v>
      </x:c>
      <x:c r="Q60" s="27" t="n">
        <x:v>3199.619</x:v>
      </x:c>
      <x:c r="R60" s="27"/>
      <x:c r="S60" s="27"/>
      <x:c r="T60" s="27"/>
      <x:c r="U60" s="27" t="n">
        <x:f>SUMIF('调用明细'!$A$2:$A$405,F60,'调用明细'!$H$2:$H$405)</x:f>
        <x:v>18040.853</x:v>
      </x:c>
      <x:c r="V60" s="27" t="n">
        <x:f>COUNTIF('调用明细'!$A$2:$A$405,F60)</x:f>
        <x:v>7</x:v>
      </x:c>
      <x:c r="W60" s="23" t="str">
        <x:v>完整</x:v>
      </x:c>
    </x:row>
    <x:row r="61" ht="42" customHeight="1">
      <x:c r="A61" s="24" t="s">
        <x:v>64</x:v>
      </x:c>
      <x:c r="B61" s="24" t="s">
        <x:v>210</x:v>
      </x:c>
      <x:c r="C61" s="24" t="s">
        <x:v>211</x:v>
      </x:c>
      <x:c r="D61" s="26" t="s">
        <x:v>212</x:v>
      </x:c>
      <x:c r="E61" s="26" t="s">
        <x:v>213</x:v>
      </x:c>
      <x:c r="F61" s="30" t="n">
        <x:v>60</x:v>
      </x:c>
      <x:c r="G61" s="24" t="str">
        <x:v>查询CBN-福州仓山-福州南站火车南站西北美化塔C-HRRH和CBN-深圳天麓八区U-H5H这两个站点下，天线高度不等于20米的小区，返回小区名称、天线高度和纬度</x:v>
      </x:c>
      <x:c r="H61" s="28" t="n">
        <x:v>2782.975</x:v>
      </x:c>
      <x:c r="I61" s="28"/>
      <x:c r="J61" s="28" t="n">
        <x:v>3383.87</x:v>
      </x:c>
      <x:c r="K61" s="28" t="n">
        <x:v>2159.887</x:v>
      </x:c>
      <x:c r="L61" s="28" t="n">
        <x:v>2356.035</x:v>
      </x:c>
      <x:c r="M61" s="28"/>
      <x:c r="N61" s="28"/>
      <x:c r="O61" s="28" t="n">
        <x:v>4447.322</x:v>
      </x:c>
      <x:c r="P61" s="28" t="n">
        <x:v>4378.268</x:v>
      </x:c>
      <x:c r="Q61" s="28" t="n">
        <x:v>1645.882</x:v>
      </x:c>
      <x:c r="R61" s="28"/>
      <x:c r="S61" s="28"/>
      <x:c r="T61" s="28"/>
      <x:c r="U61" s="28" t="n">
        <x:f>SUMIF('调用明细'!$A$2:$A$405,F61,'调用明细'!$H$2:$H$405)</x:f>
        <x:v>21154.239</x:v>
      </x:c>
      <x:c r="V61" s="28" t="n">
        <x:f>COUNTIF('调用明细'!$A$2:$A$405,F61)</x:f>
        <x:v>7</x:v>
      </x:c>
      <x:c r="W61" s="24" t="str">
        <x:v>完整</x:v>
      </x:c>
    </x:row>
  </x:sheetData>
  <x:conditionalFormatting sqref="W2:W61">
    <x:cfRule type="containsText" dxfId="0" priority="1" operator="containsText" text="缺少"/>
    <x:cfRule type="containsText" dxfId="1" priority="2" operator="containsText" text="完整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6" hidden="0" customWidth="1"/>
    <x:col min="3" max="3" width="46" hidden="0" customWidth="1"/>
    <x:col min="4" max="4" width="28" hidden="0" customWidth="1"/>
    <x:col min="5" max="5" width="28" hidden="0" customWidth="1"/>
    <x:col min="6" max="6" width="12" hidden="0" customWidth="1"/>
    <x:col min="7" max="7" width="24" hidden="0" customWidth="1"/>
    <x:col min="8" max="8" width="20" hidden="0" customWidth="1"/>
    <x:col min="9" max="9" width="14" hidden="0" customWidth="1"/>
    <x:col min="10" max="10" width="30" hidden="0" customWidth="1"/>
    <x:col min="11" max="11" width="12" hidden="0" customWidth="1"/>
    <x:col min="12" max="12" width="20" hidden="0" customWidth="1"/>
  </x:cols>
  <x:sheetData>
    <x:row r="1" ht="34" customHeight="1">
      <x:c r="A1" s="35" t="str">
        <x:v>问题编号</x:v>
      </x:c>
      <x:c r="B1" s="35" t="str">
        <x:v>原问题</x:v>
      </x:c>
      <x:c r="C1" s="35" t="str">
        <x:v>转换后问题</x:v>
      </x:c>
      <x:c r="D1" s="35" t="str">
        <x:v>阶段</x:v>
      </x:c>
      <x:c r="E1" s="35" t="str">
        <x:v>调用说明/工具名</x:v>
      </x:c>
      <x:c r="F1" s="35" t="str">
        <x:v>阶段内序号</x:v>
      </x:c>
      <x:c r="G1" s="35" t="str">
        <x:v>接收时间</x:v>
      </x:c>
      <x:c r="H1" s="35" t="str">
        <x:v>total_duration_ms</x:v>
      </x:c>
      <x:c r="I1" s="35" t="str">
        <x:v>时延(s)</x:v>
      </x:c>
      <x:c r="J1" s="35" t="str">
        <x:v>来源文件</x:v>
      </x:c>
      <x:c r="K1" s="35" t="str">
        <x:v>源文件行号</x:v>
      </x:c>
      <x:c r="L1" s="35" t="str">
        <x:v>匹配方式</x:v>
      </x:c>
    </x:row>
    <x:row r="2">
      <x:c r="A2" s="38" t="n">
        <x:v>15</x:v>
      </x:c>
      <x:c r="B2" s="23" t="str">
        <x:v>确认一下CBN-深圳梅沙湾二U-H5H站点下5G小区的CGI、小区标识和机械下倾角。</x:v>
      </x:c>
      <x:c r="C2" s="23" t="str">
        <x:v>查询CBN-深圳梅沙湾二U-H5H站点下5G小区的CGI、小区标识和机械下倾角</x:v>
      </x:c>
      <x:c r="D2" s="23" t="str">
        <x:v>Recipe - Qwen执行</x:v>
      </x:c>
      <x:c r="E2" s="23" t="str">
        <x:v>同一问题第1次Qwen调用</x:v>
      </x:c>
      <x:c r="F2" s="21" t="n">
        <x:v>1</x:v>
      </x:c>
      <x:c r="G2" s="21" t="str">
        <x:v>2026-08-14T07:25:50.127</x:v>
      </x:c>
      <x:c r="H2" s="36" t="n">
        <x:v>2612.451</x:v>
      </x:c>
      <x:c r="I2" s="36" t="n">
        <x:f>H2/1000</x:f>
        <x:v>2.612451</x:v>
      </x:c>
      <x:c r="J2" s="21" t="str">
        <x:v>dsv_modify_0814/qwen_3.jsonl</x:v>
      </x:c>
      <x:c r="K2" s="21" t="n">
        <x:v>1</x:v>
      </x:c>
      <x:c r="L2" s="21" t="str">
        <x:v>processed精确文本</x:v>
      </x:c>
    </x:row>
    <x:row r="3">
      <x:c r="A3" s="38" t="n">
        <x:v>15</x:v>
      </x:c>
      <x:c r="B3" s="23" t="str">
        <x:v>确认一下CBN-深圳梅沙湾二U-H5H站点下5G小区的CGI、小区标识和机械下倾角。</x:v>
      </x:c>
      <x:c r="C3" s="23" t="str">
        <x:v>查询CBN-深圳梅沙湾二U-H5H站点下5G小区的CGI、小区标识和机械下倾角</x:v>
      </x:c>
      <x:c r="D3" s="23" t="str">
        <x:v>Recipe - Qwen执行</x:v>
      </x:c>
      <x:c r="E3" s="23" t="str">
        <x:v>同一问题第2次Qwen调用</x:v>
      </x:c>
      <x:c r="F3" s="21" t="n">
        <x:v>2</x:v>
      </x:c>
      <x:c r="G3" s="21" t="str">
        <x:v>2026-08-14T07:25:53.240</x:v>
      </x:c>
      <x:c r="H3" s="36" t="n">
        <x:v>4591.004</x:v>
      </x:c>
      <x:c r="I3" s="36" t="n">
        <x:f>H3/1000</x:f>
        <x:v>4.591004</x:v>
      </x:c>
      <x:c r="J3" s="21" t="str">
        <x:v>dsv_modify_0814/qwen_3.jsonl</x:v>
      </x:c>
      <x:c r="K3" s="21" t="n">
        <x:v>2</x:v>
      </x:c>
      <x:c r="L3" s="21" t="str">
        <x:v>processed精确文本</x:v>
      </x:c>
    </x:row>
    <x:row r="4">
      <x:c r="A4" s="38" t="n">
        <x:v>1</x:v>
      </x:c>
      <x:c r="B4" s="23" t="str">
        <x:v>帮我查一下深圳大梅沙D-HRH-2小区的经度、纬度和方位角。</x:v>
      </x:c>
      <x:c r="C4" s="23" t="str">
        <x:v>查询深圳大梅沙D-HRH-2小区的经度、纬度和方位角</x:v>
      </x:c>
      <x:c r="D4" s="23" t="str">
        <x:v>AICO Tool Call - Skill</x:v>
      </x:c>
      <x:c r="E4" s="23" t="str">
        <x:v>Skill</x:v>
      </x:c>
      <x:c r="F4" s="21" t="n">
        <x:v>1</x:v>
      </x:c>
      <x:c r="G4" s="21" t="str">
        <x:v>2026-08-14T07:26:22.237</x:v>
      </x:c>
      <x:c r="H4" s="36" t="n">
        <x:v>3404.693</x:v>
      </x:c>
      <x:c r="I4" s="36" t="n">
        <x:f>H4/1000</x:f>
        <x:v>3.4046930000000004</x:v>
      </x:c>
      <x:c r="J4" s="21" t="str">
        <x:v>dsv_modify_0814/dsv4_3_aico.jsonl</x:v>
      </x:c>
      <x:c r="K4" s="21" t="n">
        <x:v>1</x:v>
      </x:c>
      <x:c r="L4" s="21" t="str">
        <x:v>original精确文本</x:v>
      </x:c>
    </x:row>
    <x:row r="5">
      <x:c r="A5" s="38" t="n">
        <x:v>1</x:v>
      </x:c>
      <x:c r="B5" s="23" t="str">
        <x:v>帮我查一下深圳大梅沙D-HRH-2小区的经度、纬度和方位角。</x:v>
      </x:c>
      <x:c r="C5" s="23" t="str">
        <x:v>查询深圳大梅沙D-HRH-2小区的经度、纬度和方位角</x:v>
      </x:c>
      <x:c r="D5" s="23" t="str">
        <x:v>AICO Tool Call - Workflow</x:v>
      </x:c>
      <x:c r="E5" s="23" t="str">
        <x:v>Workflow</x:v>
      </x:c>
      <x:c r="F5" s="21" t="n">
        <x:v>1</x:v>
      </x:c>
      <x:c r="G5" s="21" t="str">
        <x:v>2026-08-14T07:26:25.802</x:v>
      </x:c>
      <x:c r="H5" s="36" t="n">
        <x:v>2273.948</x:v>
      </x:c>
      <x:c r="I5" s="36" t="n">
        <x:f>H5/1000</x:f>
        <x:v>2.273948</x:v>
      </x:c>
      <x:c r="J5" s="21" t="str">
        <x:v>dsv_modify_0814/dsv4_3_aico.jsonl</x:v>
      </x:c>
      <x:c r="K5" s="21" t="n">
        <x:v>2</x:v>
      </x:c>
      <x:c r="L5" s="21" t="str">
        <x:v>original精确文本</x:v>
      </x:c>
    </x:row>
    <x:row r="6">
      <x:c r="A6" s="38" t="n">
        <x:v>1</x:v>
      </x:c>
      <x:c r="B6" s="23" t="str">
        <x:v>帮我查一下深圳大梅沙D-HRH-2小区的经度、纬度和方位角。</x:v>
      </x:c>
      <x:c r="C6" s="23" t="str">
        <x:v>查询深圳大梅沙D-HRH-2小区的经度、纬度和方位角</x:v>
      </x:c>
      <x:c r="D6" s="23" t="str">
        <x:v>Recipe - DeepSeek</x:v>
      </x:c>
      <x:c r="E6" s="23" t="str">
        <x:v>DeepSeek recipe调用</x:v>
      </x:c>
      <x:c r="F6" s="21" t="n">
        <x:v>1</x:v>
      </x:c>
      <x:c r="G6" s="21" t="str">
        <x:v>2026-08-14T07:26:29.420</x:v>
      </x:c>
      <x:c r="H6" s="36" t="n">
        <x:v>1397.137</x:v>
      </x:c>
      <x:c r="I6" s="36" t="n">
        <x:f>H6/1000</x:f>
        <x:v>1.3971369999999999</x:v>
      </x:c>
      <x:c r="J6" s="21" t="str">
        <x:v>dsv_modify_0814/dsv4_3_recipe_ds.jsonl</x:v>
      </x:c>
      <x:c r="K6" s="21" t="n">
        <x:v>1</x:v>
      </x:c>
      <x:c r="L6" s="21" t="str">
        <x:v>processed精确文本</x:v>
      </x:c>
    </x:row>
    <x:row r="7">
      <x:c r="A7" s="38" t="n">
        <x:v>1</x:v>
      </x:c>
      <x:c r="B7" s="23" t="str">
        <x:v>帮我查一下深圳大梅沙D-HRH-2小区的经度、纬度和方位角。</x:v>
      </x:c>
      <x:c r="C7" s="23" t="str">
        <x:v>查询深圳大梅沙D-HRH-2小区的经度、纬度和方位角</x:v>
      </x:c>
      <x:c r="D7" s="23" t="str">
        <x:v>Recipe - Qwen执行</x:v>
      </x:c>
      <x:c r="E7" s="23" t="str">
        <x:v>同一问题第1次Qwen调用</x:v>
      </x:c>
      <x:c r="F7" s="21" t="n">
        <x:v>1</x:v>
      </x:c>
      <x:c r="G7" s="21" t="str">
        <x:v>2026-08-14T07:26:31.144</x:v>
      </x:c>
      <x:c r="H7" s="36" t="n">
        <x:v>2929.053</x:v>
      </x:c>
      <x:c r="I7" s="36" t="n">
        <x:f>H7/1000</x:f>
        <x:v>2.9290529999999997</x:v>
      </x:c>
      <x:c r="J7" s="21" t="str">
        <x:v>dsv_modify_0814/qwen_3.jsonl</x:v>
      </x:c>
      <x:c r="K7" s="21" t="n">
        <x:v>3</x:v>
      </x:c>
      <x:c r="L7" s="21" t="str">
        <x:v>processed精确文本</x:v>
      </x:c>
    </x:row>
    <x:row r="8">
      <x:c r="A8" s="38" t="n">
        <x:v>1</x:v>
      </x:c>
      <x:c r="B8" s="23" t="str">
        <x:v>帮我查一下深圳大梅沙D-HRH-2小区的经度、纬度和方位角。</x:v>
      </x:c>
      <x:c r="C8" s="23" t="str">
        <x:v>查询深圳大梅沙D-HRH-2小区的经度、纬度和方位角</x:v>
      </x:c>
      <x:c r="D8" s="23" t="str">
        <x:v>Recipe - Qwen总结</x:v>
      </x:c>
      <x:c r="E8" s="23" t="str">
        <x:v>同一问题最后一次Qwen调用</x:v>
      </x:c>
      <x:c r="F8" s="21" t="n">
        <x:v>1</x:v>
      </x:c>
      <x:c r="G8" s="21" t="str">
        <x:v>2026-08-14T07:26:34.586</x:v>
      </x:c>
      <x:c r="H8" s="36" t="n">
        <x:v>1429.11</x:v>
      </x:c>
      <x:c r="I8" s="36" t="n">
        <x:f>H8/1000</x:f>
        <x:v>1.4291099999999999</x:v>
      </x:c>
      <x:c r="J8" s="21" t="str">
        <x:v>dsv_modify_0814/qwen_3.jsonl</x:v>
      </x:c>
      <x:c r="K8" s="21" t="n">
        <x:v>4</x:v>
      </x:c>
      <x:c r="L8" s="21" t="str">
        <x:v>processed精确文本</x:v>
      </x:c>
    </x:row>
    <x:row r="9">
      <x:c r="A9" s="38" t="n">
        <x:v>1</x:v>
      </x:c>
      <x:c r="B9" s="23" t="str">
        <x:v>帮我查一下深圳大梅沙D-HRH-2小区的经度、纬度和方位角。</x:v>
      </x:c>
      <x:c r="C9" s="23" t="str">
        <x:v>查询深圳大梅沙D-HRH-2小区的经度、纬度和方位角</x:v>
      </x:c>
      <x:c r="D9" s="23" t="str">
        <x:v>AICO总结</x:v>
      </x:c>
      <x:c r="E9" s="23" t="str">
        <x:v>无tool_calls</x:v>
      </x:c>
      <x:c r="F9" s="21" t="n">
        <x:v>1</x:v>
      </x:c>
      <x:c r="G9" s="21" t="str">
        <x:v>2026-08-14T07:26:36.284</x:v>
      </x:c>
      <x:c r="H9" s="36" t="n">
        <x:v>2272.62</x:v>
      </x:c>
      <x:c r="I9" s="36" t="n">
        <x:f>H9/1000</x:f>
        <x:v>2.27262</x:v>
      </x:c>
      <x:c r="J9" s="21" t="str">
        <x:v>dsv_modify_0814/dsv4_3_aico.jsonl</x:v>
      </x:c>
      <x:c r="K9" s="21" t="n">
        <x:v>3</x:v>
      </x:c>
      <x:c r="L9" s="21" t="str">
        <x:v>original精确文本</x:v>
      </x:c>
    </x:row>
    <x:row r="10">
      <x:c r="A10" s="38" t="n">
        <x:v>1</x:v>
      </x:c>
      <x:c r="B10" s="23" t="str">
        <x:v>帮我查一下深圳大梅沙D-HRH-2小区的经度、纬度和方位角。</x:v>
      </x:c>
      <x:c r="C10" s="23" t="str">
        <x:v>查询深圳大梅沙D-HRH-2小区的经度、纬度和方位角</x:v>
      </x:c>
      <x:c r="D10" s="23" t="str">
        <x:v>问题推荐</x:v>
      </x:c>
      <x:c r="E10" s="23" t="str">
        <x:v>后续问题推荐</x:v>
      </x:c>
      <x:c r="F10" s="21" t="n">
        <x:v>1</x:v>
      </x:c>
      <x:c r="G10" s="21" t="str">
        <x:v>2026-08-14T07:26:38.840</x:v>
      </x:c>
      <x:c r="H10" s="36" t="n">
        <x:v>4100.835</x:v>
      </x:c>
      <x:c r="I10" s="36" t="n">
        <x:f>H10/1000</x:f>
        <x:v>4.100835</x:v>
      </x:c>
      <x:c r="J10" s="21" t="str">
        <x:v>dsv_modify_0814/dsv4_3_recipe_ds.jsonl</x:v>
      </x:c>
      <x:c r="K10" s="21" t="n">
        <x:v>2</x:v>
      </x:c>
      <x:c r="L10" s="21" t="str">
        <x:v>original精确文本</x:v>
      </x:c>
    </x:row>
    <x:row r="11">
      <x:c r="A11" s="38" t="n">
        <x:v>2</x:v>
      </x:c>
      <x:c r="B11" s="23" t="str">
        <x:v>看一下CBN-深圳天麓八区U-H5H站点下小区的天线高度和机械下倾角。</x:v>
      </x:c>
      <x:c r="C11" s="23" t="str">
        <x:v>查询CBN-深圳天麓八区U-H5H站点下小区的天线高度和机械下倾角</x:v>
      </x:c>
      <x:c r="D11" s="23" t="str">
        <x:v>AICO Tool Call - Skill</x:v>
      </x:c>
      <x:c r="E11" s="23" t="str">
        <x:v>Skill</x:v>
      </x:c>
      <x:c r="F11" s="21" t="n">
        <x:v>1</x:v>
      </x:c>
      <x:c r="G11" s="21" t="str">
        <x:v>2026-08-14T07:26:39.741</x:v>
      </x:c>
      <x:c r="H11" s="36" t="n">
        <x:v>3436.553</x:v>
      </x:c>
      <x:c r="I11" s="36" t="n">
        <x:f>H11/1000</x:f>
        <x:v>3.436553</x:v>
      </x:c>
      <x:c r="J11" s="21" t="str">
        <x:v>dsv_modify_0814/dsv4_3_aico.jsonl</x:v>
      </x:c>
      <x:c r="K11" s="21" t="n">
        <x:v>4</x:v>
      </x:c>
      <x:c r="L11" s="21" t="str">
        <x:v>original精确文本</x:v>
      </x:c>
    </x:row>
    <x:row r="12">
      <x:c r="A12" s="38" t="n">
        <x:v>2</x:v>
      </x:c>
      <x:c r="B12" s="23" t="str">
        <x:v>看一下CBN-深圳天麓八区U-H5H站点下小区的天线高度和机械下倾角。</x:v>
      </x:c>
      <x:c r="C12" s="23" t="str">
        <x:v>查询CBN-深圳天麓八区U-H5H站点下小区的天线高度和机械下倾角</x:v>
      </x:c>
      <x:c r="D12" s="23" t="str">
        <x:v>AICO Tool Call - Workflow</x:v>
      </x:c>
      <x:c r="E12" s="23" t="str">
        <x:v>Workflow</x:v>
      </x:c>
      <x:c r="F12" s="21" t="n">
        <x:v>1</x:v>
      </x:c>
      <x:c r="G12" s="21" t="str">
        <x:v>2026-08-14T07:26:43.322</x:v>
      </x:c>
      <x:c r="H12" s="36" t="n">
        <x:v>2567.92</x:v>
      </x:c>
      <x:c r="I12" s="36" t="n">
        <x:f>H12/1000</x:f>
        <x:v>2.56792</x:v>
      </x:c>
      <x:c r="J12" s="21" t="str">
        <x:v>dsv_modify_0814/dsv4_3_aico.jsonl</x:v>
      </x:c>
      <x:c r="K12" s="21" t="n">
        <x:v>5</x:v>
      </x:c>
      <x:c r="L12" s="21" t="str">
        <x:v>original精确文本</x:v>
      </x:c>
    </x:row>
    <x:row r="13">
      <x:c r="A13" s="38" t="n">
        <x:v>2</x:v>
      </x:c>
      <x:c r="B13" s="23" t="str">
        <x:v>看一下CBN-深圳天麓八区U-H5H站点下小区的天线高度和机械下倾角。</x:v>
      </x:c>
      <x:c r="C13" s="23" t="str">
        <x:v>查询CBN-深圳天麓八区U-H5H站点下小区的天线高度和机械下倾角</x:v>
      </x:c>
      <x:c r="D13" s="23" t="str">
        <x:v>Recipe - DeepSeek</x:v>
      </x:c>
      <x:c r="E13" s="23" t="str">
        <x:v>DeepSeek recipe调用</x:v>
      </x:c>
      <x:c r="F13" s="21" t="n">
        <x:v>1</x:v>
      </x:c>
      <x:c r="G13" s="21" t="str">
        <x:v>2026-08-14T07:26:47.031</x:v>
      </x:c>
      <x:c r="H13" s="36" t="n">
        <x:v>1659.896</x:v>
      </x:c>
      <x:c r="I13" s="36" t="n">
        <x:f>H13/1000</x:f>
        <x:v>1.659896</x:v>
      </x:c>
      <x:c r="J13" s="21" t="str">
        <x:v>dsv_modify_0814/dsv4_3_recipe_ds.jsonl</x:v>
      </x:c>
      <x:c r="K13" s="21" t="n">
        <x:v>3</x:v>
      </x:c>
      <x:c r="L13" s="21" t="str">
        <x:v>processed精确文本</x:v>
      </x:c>
    </x:row>
    <x:row r="14">
      <x:c r="A14" s="38" t="n">
        <x:v>2</x:v>
      </x:c>
      <x:c r="B14" s="23" t="str">
        <x:v>看一下CBN-深圳天麓八区U-H5H站点下小区的天线高度和机械下倾角。</x:v>
      </x:c>
      <x:c r="C14" s="23" t="str">
        <x:v>查询CBN-深圳天麓八区U-H5H站点下小区的天线高度和机械下倾角</x:v>
      </x:c>
      <x:c r="D14" s="23" t="str">
        <x:v>Recipe - Qwen执行</x:v>
      </x:c>
      <x:c r="E14" s="23" t="str">
        <x:v>同一问题第1次Qwen调用</x:v>
      </x:c>
      <x:c r="F14" s="21" t="n">
        <x:v>1</x:v>
      </x:c>
      <x:c r="G14" s="21" t="str">
        <x:v>2026-08-14T07:26:49.031</x:v>
      </x:c>
      <x:c r="H14" s="36" t="n">
        <x:v>1605.49</x:v>
      </x:c>
      <x:c r="I14" s="36" t="n">
        <x:f>H14/1000</x:f>
        <x:v>1.60549</x:v>
      </x:c>
      <x:c r="J14" s="21" t="str">
        <x:v>dsv_modify_0814/qwen_3.jsonl</x:v>
      </x:c>
      <x:c r="K14" s="21" t="n">
        <x:v>5</x:v>
      </x:c>
      <x:c r="L14" s="21" t="str">
        <x:v>processed精确文本</x:v>
      </x:c>
    </x:row>
    <x:row r="15">
      <x:c r="A15" s="38" t="n">
        <x:v>2</x:v>
      </x:c>
      <x:c r="B15" s="23" t="str">
        <x:v>看一下CBN-深圳天麓八区U-H5H站点下小区的天线高度和机械下倾角。</x:v>
      </x:c>
      <x:c r="C15" s="23" t="str">
        <x:v>查询CBN-深圳天麓八区U-H5H站点下小区的天线高度和机械下倾角</x:v>
      </x:c>
      <x:c r="D15" s="23" t="str">
        <x:v>Recipe - Qwen总结</x:v>
      </x:c>
      <x:c r="E15" s="23" t="str">
        <x:v>同一问题最后一次Qwen调用</x:v>
      </x:c>
      <x:c r="F15" s="21" t="n">
        <x:v>1</x:v>
      </x:c>
      <x:c r="G15" s="21" t="str">
        <x:v>2026-08-14T07:26:51.133</x:v>
      </x:c>
      <x:c r="H15" s="36" t="n">
        <x:v>2229.772</x:v>
      </x:c>
      <x:c r="I15" s="36" t="n">
        <x:f>H15/1000</x:f>
        <x:v>2.229772</x:v>
      </x:c>
      <x:c r="J15" s="21" t="str">
        <x:v>dsv_modify_0814/qwen_3.jsonl</x:v>
      </x:c>
      <x:c r="K15" s="21" t="n">
        <x:v>6</x:v>
      </x:c>
      <x:c r="L15" s="21" t="str">
        <x:v>processed精确文本</x:v>
      </x:c>
    </x:row>
    <x:row r="16">
      <x:c r="A16" s="38" t="n">
        <x:v>2</x:v>
      </x:c>
      <x:c r="B16" s="23" t="str">
        <x:v>看一下CBN-深圳天麓八区U-H5H站点下小区的天线高度和机械下倾角。</x:v>
      </x:c>
      <x:c r="C16" s="23" t="str">
        <x:v>查询CBN-深圳天麓八区U-H5H站点下小区的天线高度和机械下倾角</x:v>
      </x:c>
      <x:c r="D16" s="23" t="str">
        <x:v>AICO总结</x:v>
      </x:c>
      <x:c r="E16" s="23" t="str">
        <x:v>无tool_calls</x:v>
      </x:c>
      <x:c r="F16" s="21" t="n">
        <x:v>1</x:v>
      </x:c>
      <x:c r="G16" s="21" t="str">
        <x:v>2026-08-14T07:26:53.623</x:v>
      </x:c>
      <x:c r="H16" s="36" t="n">
        <x:v>2476.251</x:v>
      </x:c>
      <x:c r="I16" s="36" t="n">
        <x:f>H16/1000</x:f>
        <x:v>2.4762510000000004</x:v>
      </x:c>
      <x:c r="J16" s="21" t="str">
        <x:v>dsv_modify_0814/dsv4_3_aico.jsonl</x:v>
      </x:c>
      <x:c r="K16" s="21" t="n">
        <x:v>6</x:v>
      </x:c>
      <x:c r="L16" s="21" t="str">
        <x:v>original精确文本</x:v>
      </x:c>
    </x:row>
    <x:row r="17">
      <x:c r="A17" s="38" t="n">
        <x:v>2</x:v>
      </x:c>
      <x:c r="B17" s="23" t="str">
        <x:v>看一下CBN-深圳天麓八区U-H5H站点下小区的天线高度和机械下倾角。</x:v>
      </x:c>
      <x:c r="C17" s="23" t="str">
        <x:v>查询CBN-深圳天麓八区U-H5H站点下小区的天线高度和机械下倾角</x:v>
      </x:c>
      <x:c r="D17" s="23" t="str">
        <x:v>问题推荐</x:v>
      </x:c>
      <x:c r="E17" s="23" t="str">
        <x:v>后续问题推荐</x:v>
      </x:c>
      <x:c r="F17" s="21" t="n">
        <x:v>1</x:v>
      </x:c>
      <x:c r="G17" s="21" t="str">
        <x:v>2026-08-14T07:26:56.553</x:v>
      </x:c>
      <x:c r="H17" s="36" t="n">
        <x:v>3128.135</x:v>
      </x:c>
      <x:c r="I17" s="36" t="n">
        <x:f>H17/1000</x:f>
        <x:v>3.1281350000000003</x:v>
      </x:c>
      <x:c r="J17" s="21" t="str">
        <x:v>dsv_modify_0814/dsv4_3_recipe_ds.jsonl</x:v>
      </x:c>
      <x:c r="K17" s="21" t="n">
        <x:v>4</x:v>
      </x:c>
      <x:c r="L17" s="21" t="str">
        <x:v>original精确文本</x:v>
      </x:c>
    </x:row>
    <x:row r="18">
      <x:c r="A18" s="38" t="n">
        <x:v>3</x:v>
      </x:c>
      <x:c r="B18" s="23" t="str">
        <x:v>查询CBN-福州仓山-火车南站西广场南侧高架桥旁C-HRHH-512小区的小区标识和基站标识。</x:v>
      </x:c>
      <x:c r="C18" s="23" t="str">
        <x:v>查询CBN-福州仓山-火车南站西广场南侧高架桥旁C-HRHH-512小区的小区标识和基站标识</x:v>
      </x:c>
      <x:c r="D18" s="23" t="str">
        <x:v>AICO Tool Call - Skill</x:v>
      </x:c>
      <x:c r="E18" s="23" t="str">
        <x:v>Skill</x:v>
      </x:c>
      <x:c r="F18" s="21" t="n">
        <x:v>1</x:v>
      </x:c>
      <x:c r="G18" s="21" t="str">
        <x:v>2026-08-14T07:26:57.337</x:v>
      </x:c>
      <x:c r="H18" s="36" t="n">
        <x:v>3118.96</x:v>
      </x:c>
      <x:c r="I18" s="36" t="n">
        <x:f>H18/1000</x:f>
        <x:v>3.11896</x:v>
      </x:c>
      <x:c r="J18" s="21" t="str">
        <x:v>dsv_modify_0814/dsv4_3_aico.jsonl</x:v>
      </x:c>
      <x:c r="K18" s="21" t="n">
        <x:v>7</x:v>
      </x:c>
      <x:c r="L18" s="21" t="str">
        <x:v>original精确文本</x:v>
      </x:c>
    </x:row>
    <x:row r="19">
      <x:c r="A19" s="38" t="n">
        <x:v>3</x:v>
      </x:c>
      <x:c r="B19" s="23" t="str">
        <x:v>查询CBN-福州仓山-火车南站西广场南侧高架桥旁C-HRHH-512小区的小区标识和基站标识。</x:v>
      </x:c>
      <x:c r="C19" s="23" t="str">
        <x:v>查询CBN-福州仓山-火车南站西广场南侧高架桥旁C-HRHH-512小区的小区标识和基站标识</x:v>
      </x:c>
      <x:c r="D19" s="23" t="str">
        <x:v>AICO Tool Call - Workflow</x:v>
      </x:c>
      <x:c r="E19" s="23" t="str">
        <x:v>Workflow</x:v>
      </x:c>
      <x:c r="F19" s="21" t="n">
        <x:v>1</x:v>
      </x:c>
      <x:c r="G19" s="21" t="str">
        <x:v>2026-08-14T07:27:00.629</x:v>
      </x:c>
      <x:c r="H19" s="36" t="n">
        <x:v>3094.852</x:v>
      </x:c>
      <x:c r="I19" s="36" t="n">
        <x:f>H19/1000</x:f>
        <x:v>3.094852</x:v>
      </x:c>
      <x:c r="J19" s="21" t="str">
        <x:v>dsv_modify_0814/dsv4_3_aico.jsonl</x:v>
      </x:c>
      <x:c r="K19" s="21" t="n">
        <x:v>8</x:v>
      </x:c>
      <x:c r="L19" s="21" t="str">
        <x:v>original精确文本</x:v>
      </x:c>
    </x:row>
    <x:row r="20">
      <x:c r="A20" s="38" t="n">
        <x:v>3</x:v>
      </x:c>
      <x:c r="B20" s="23" t="str">
        <x:v>查询CBN-福州仓山-火车南站西广场南侧高架桥旁C-HRHH-512小区的小区标识和基站标识。</x:v>
      </x:c>
      <x:c r="C20" s="23" t="str">
        <x:v>查询CBN-福州仓山-火车南站西广场南侧高架桥旁C-HRHH-512小区的小区标识和基站标识</x:v>
      </x:c>
      <x:c r="D20" s="23" t="str">
        <x:v>Recipe - DeepSeek</x:v>
      </x:c>
      <x:c r="E20" s="23" t="str">
        <x:v>DeepSeek recipe调用</x:v>
      </x:c>
      <x:c r="F20" s="21" t="n">
        <x:v>1</x:v>
      </x:c>
      <x:c r="G20" s="21" t="str">
        <x:v>2026-08-14T07:27:05.238</x:v>
      </x:c>
      <x:c r="H20" s="36" t="n">
        <x:v>1813.072</x:v>
      </x:c>
      <x:c r="I20" s="36" t="n">
        <x:f>H20/1000</x:f>
        <x:v>1.8130719999999998</x:v>
      </x:c>
      <x:c r="J20" s="21" t="str">
        <x:v>dsv_modify_0814/dsv4_3_recipe_ds.jsonl</x:v>
      </x:c>
      <x:c r="K20" s="21" t="n">
        <x:v>5</x:v>
      </x:c>
      <x:c r="L20" s="21" t="str">
        <x:v>processed精确文本</x:v>
      </x:c>
    </x:row>
    <x:row r="21">
      <x:c r="A21" s="38" t="n">
        <x:v>3</x:v>
      </x:c>
      <x:c r="B21" s="23" t="str">
        <x:v>查询CBN-福州仓山-火车南站西广场南侧高架桥旁C-HRHH-512小区的小区标识和基站标识。</x:v>
      </x:c>
      <x:c r="C21" s="23" t="str">
        <x:v>查询CBN-福州仓山-火车南站西广场南侧高架桥旁C-HRHH-512小区的小区标识和基站标识</x:v>
      </x:c>
      <x:c r="D21" s="23" t="str">
        <x:v>Recipe - Qwen执行</x:v>
      </x:c>
      <x:c r="E21" s="23" t="str">
        <x:v>同一问题第1次Qwen调用</x:v>
      </x:c>
      <x:c r="F21" s="21" t="n">
        <x:v>1</x:v>
      </x:c>
      <x:c r="G21" s="21" t="str">
        <x:v>2026-08-14T07:27:07.395</x:v>
      </x:c>
      <x:c r="H21" s="36" t="n">
        <x:v>1625.012</x:v>
      </x:c>
      <x:c r="I21" s="36" t="n">
        <x:f>H21/1000</x:f>
        <x:v>1.625012</x:v>
      </x:c>
      <x:c r="J21" s="21" t="str">
        <x:v>dsv_modify_0814/qwen_3.jsonl</x:v>
      </x:c>
      <x:c r="K21" s="21" t="n">
        <x:v>7</x:v>
      </x:c>
      <x:c r="L21" s="21" t="str">
        <x:v>processed精确文本</x:v>
      </x:c>
    </x:row>
    <x:row r="22">
      <x:c r="A22" s="38" t="n">
        <x:v>3</x:v>
      </x:c>
      <x:c r="B22" s="23" t="str">
        <x:v>查询CBN-福州仓山-火车南站西广场南侧高架桥旁C-HRHH-512小区的小区标识和基站标识。</x:v>
      </x:c>
      <x:c r="C22" s="23" t="str">
        <x:v>查询CBN-福州仓山-火车南站西广场南侧高架桥旁C-HRHH-512小区的小区标识和基站标识</x:v>
      </x:c>
      <x:c r="D22" s="23" t="str">
        <x:v>Recipe - Qwen总结</x:v>
      </x:c>
      <x:c r="E22" s="23" t="str">
        <x:v>同一问题最后一次Qwen调用</x:v>
      </x:c>
      <x:c r="F22" s="21" t="n">
        <x:v>1</x:v>
      </x:c>
      <x:c r="G22" s="21" t="str">
        <x:v>2026-08-14T07:27:09.533</x:v>
      </x:c>
      <x:c r="H22" s="36" t="n">
        <x:v>2773.608</x:v>
      </x:c>
      <x:c r="I22" s="36" t="n">
        <x:f>H22/1000</x:f>
        <x:v>2.7736080000000003</x:v>
      </x:c>
      <x:c r="J22" s="21" t="str">
        <x:v>dsv_modify_0814/qwen_3.jsonl</x:v>
      </x:c>
      <x:c r="K22" s="21" t="n">
        <x:v>8</x:v>
      </x:c>
      <x:c r="L22" s="21" t="str">
        <x:v>processed精确文本</x:v>
      </x:c>
    </x:row>
    <x:row r="23">
      <x:c r="A23" s="38" t="n">
        <x:v>3</x:v>
      </x:c>
      <x:c r="B23" s="23" t="str">
        <x:v>查询CBN-福州仓山-火车南站西广场南侧高架桥旁C-HRHH-512小区的小区标识和基站标识。</x:v>
      </x:c>
      <x:c r="C23" s="23" t="str">
        <x:v>查询CBN-福州仓山-火车南站西广场南侧高架桥旁C-HRHH-512小区的小区标识和基站标识</x:v>
      </x:c>
      <x:c r="D23" s="23" t="str">
        <x:v>AICO总结</x:v>
      </x:c>
      <x:c r="E23" s="23" t="str">
        <x:v>无tool_calls</x:v>
      </x:c>
      <x:c r="F23" s="21" t="n">
        <x:v>1</x:v>
      </x:c>
      <x:c r="G23" s="21" t="str">
        <x:v>2026-08-14T07:27:12.605</x:v>
      </x:c>
      <x:c r="H23" s="36" t="n">
        <x:v>2531.077</x:v>
      </x:c>
      <x:c r="I23" s="36" t="n">
        <x:f>H23/1000</x:f>
        <x:v>2.5310770000000002</x:v>
      </x:c>
      <x:c r="J23" s="21" t="str">
        <x:v>dsv_modify_0814/dsv4_3_aico.jsonl</x:v>
      </x:c>
      <x:c r="K23" s="21" t="n">
        <x:v>9</x:v>
      </x:c>
      <x:c r="L23" s="21" t="str">
        <x:v>original精确文本</x:v>
      </x:c>
    </x:row>
    <x:row r="24">
      <x:c r="A24" s="38" t="n">
        <x:v>3</x:v>
      </x:c>
      <x:c r="B24" s="23" t="str">
        <x:v>查询CBN-福州仓山-火车南站西广场南侧高架桥旁C-HRHH-512小区的小区标识和基站标识。</x:v>
      </x:c>
      <x:c r="C24" s="23" t="str">
        <x:v>查询CBN-福州仓山-火车南站西广场南侧高架桥旁C-HRHH-512小区的小区标识和基站标识</x:v>
      </x:c>
      <x:c r="D24" s="23" t="str">
        <x:v>问题推荐</x:v>
      </x:c>
      <x:c r="E24" s="23" t="str">
        <x:v>后续问题推荐</x:v>
      </x:c>
      <x:c r="F24" s="21" t="n">
        <x:v>1</x:v>
      </x:c>
      <x:c r="G24" s="21" t="str">
        <x:v>2026-08-14T07:27:15.426</x:v>
      </x:c>
      <x:c r="H24" s="36" t="n">
        <x:v>3013.151</x:v>
      </x:c>
      <x:c r="I24" s="36" t="n">
        <x:f>H24/1000</x:f>
        <x:v>3.0131509999999997</x:v>
      </x:c>
      <x:c r="J24" s="21" t="str">
        <x:v>dsv_modify_0814/dsv4_3_recipe_ds.jsonl</x:v>
      </x:c>
      <x:c r="K24" s="21" t="n">
        <x:v>6</x:v>
      </x:c>
      <x:c r="L24" s="21" t="str">
        <x:v>original精确文本</x:v>
      </x:c>
    </x:row>
    <x:row r="25">
      <x:c r="A25" s="38" t="n">
        <x:v>4</x:v>
      </x:c>
      <x:c r="B25" s="23" t="str">
        <x:v>确认一下深圳梅沙湾二D-HRH-3小区的方向角是多少。</x:v>
      </x:c>
      <x:c r="C25" s="23" t="str">
        <x:v>查询深圳梅沙湾二D-HRH-3小区的方向角</x:v>
      </x:c>
      <x:c r="D25" s="23" t="str">
        <x:v>AICO Tool Call - Skill</x:v>
      </x:c>
      <x:c r="E25" s="23" t="str">
        <x:v>Skill</x:v>
      </x:c>
      <x:c r="F25" s="21" t="n">
        <x:v>1</x:v>
      </x:c>
      <x:c r="G25" s="21" t="str">
        <x:v>2026-08-14T07:27:16.364</x:v>
      </x:c>
      <x:c r="H25" s="36" t="n">
        <x:v>2848.23</x:v>
      </x:c>
      <x:c r="I25" s="36" t="n">
        <x:f>H25/1000</x:f>
        <x:v>2.84823</x:v>
      </x:c>
      <x:c r="J25" s="21" t="str">
        <x:v>dsv_modify_0814/dsv4_3_aico.jsonl</x:v>
      </x:c>
      <x:c r="K25" s="21" t="n">
        <x:v>10</x:v>
      </x:c>
      <x:c r="L25" s="21" t="str">
        <x:v>original精确文本</x:v>
      </x:c>
    </x:row>
    <x:row r="26">
      <x:c r="A26" s="38" t="n">
        <x:v>4</x:v>
      </x:c>
      <x:c r="B26" s="23" t="str">
        <x:v>确认一下深圳梅沙湾二D-HRH-3小区的方向角是多少。</x:v>
      </x:c>
      <x:c r="C26" s="23" t="str">
        <x:v>查询深圳梅沙湾二D-HRH-3小区的方向角</x:v>
      </x:c>
      <x:c r="D26" s="23" t="str">
        <x:v>AICO Tool Call - Workflow</x:v>
      </x:c>
      <x:c r="E26" s="23" t="str">
        <x:v>Workflow</x:v>
      </x:c>
      <x:c r="F26" s="21" t="n">
        <x:v>1</x:v>
      </x:c>
      <x:c r="G26" s="21" t="str">
        <x:v>2026-08-14T07:27:19.373</x:v>
      </x:c>
      <x:c r="H26" s="36" t="n">
        <x:v>2843.565</x:v>
      </x:c>
      <x:c r="I26" s="36" t="n">
        <x:f>H26/1000</x:f>
        <x:v>2.843565</x:v>
      </x:c>
      <x:c r="J26" s="21" t="str">
        <x:v>dsv_modify_0814/dsv4_3_aico.jsonl</x:v>
      </x:c>
      <x:c r="K26" s="21" t="n">
        <x:v>11</x:v>
      </x:c>
      <x:c r="L26" s="21" t="str">
        <x:v>original精确文本</x:v>
      </x:c>
    </x:row>
    <x:row r="27">
      <x:c r="A27" s="38" t="n">
        <x:v>4</x:v>
      </x:c>
      <x:c r="B27" s="23" t="str">
        <x:v>确认一下深圳梅沙湾二D-HRH-3小区的方向角是多少。</x:v>
      </x:c>
      <x:c r="C27" s="23" t="str">
        <x:v>查询深圳梅沙湾二D-HRH-3小区的方向角</x:v>
      </x:c>
      <x:c r="D27" s="23" t="str">
        <x:v>Recipe - DeepSeek</x:v>
      </x:c>
      <x:c r="E27" s="23" t="str">
        <x:v>DeepSeek recipe调用</x:v>
      </x:c>
      <x:c r="F27" s="21" t="n">
        <x:v>1</x:v>
      </x:c>
      <x:c r="G27" s="21" t="str">
        <x:v>2026-08-14T07:27:23.604</x:v>
      </x:c>
      <x:c r="H27" s="36" t="n">
        <x:v>2839.763</x:v>
      </x:c>
      <x:c r="I27" s="36" t="n">
        <x:f>H27/1000</x:f>
        <x:v>2.839763</x:v>
      </x:c>
      <x:c r="J27" s="21" t="str">
        <x:v>dsv_modify_0814/dsv4_3_recipe_ds.jsonl</x:v>
      </x:c>
      <x:c r="K27" s="21" t="n">
        <x:v>7</x:v>
      </x:c>
      <x:c r="L27" s="21" t="str">
        <x:v>processed精确文本</x:v>
      </x:c>
    </x:row>
    <x:row r="28">
      <x:c r="A28" s="38" t="n">
        <x:v>4</x:v>
      </x:c>
      <x:c r="B28" s="23" t="str">
        <x:v>确认一下深圳梅沙湾二D-HRH-3小区的方向角是多少。</x:v>
      </x:c>
      <x:c r="C28" s="23" t="str">
        <x:v>查询深圳梅沙湾二D-HRH-3小区的方向角</x:v>
      </x:c>
      <x:c r="D28" s="23" t="str">
        <x:v>AICO总结</x:v>
      </x:c>
      <x:c r="E28" s="23" t="str">
        <x:v>无tool_calls</x:v>
      </x:c>
      <x:c r="F28" s="21" t="n">
        <x:v>1</x:v>
      </x:c>
      <x:c r="G28" s="21" t="str">
        <x:v>2026-08-14T07:27:26.695</x:v>
      </x:c>
      <x:c r="H28" s="36" t="n">
        <x:v>2555.162</x:v>
      </x:c>
      <x:c r="I28" s="36" t="n">
        <x:f>H28/1000</x:f>
        <x:v>2.5551619999999997</x:v>
      </x:c>
      <x:c r="J28" s="21" t="str">
        <x:v>dsv_modify_0814/dsv4_3_aico.jsonl</x:v>
      </x:c>
      <x:c r="K28" s="21" t="n">
        <x:v>12</x:v>
      </x:c>
      <x:c r="L28" s="21" t="str">
        <x:v>original精确文本</x:v>
      </x:c>
    </x:row>
    <x:row r="29">
      <x:c r="A29" s="38" t="n">
        <x:v>4</x:v>
      </x:c>
      <x:c r="B29" s="23" t="str">
        <x:v>确认一下深圳梅沙湾二D-HRH-3小区的方向角是多少。</x:v>
      </x:c>
      <x:c r="C29" s="23" t="str">
        <x:v>查询深圳梅沙湾二D-HRH-3小区的方向角</x:v>
      </x:c>
      <x:c r="D29" s="23" t="str">
        <x:v>问题推荐</x:v>
      </x:c>
      <x:c r="E29" s="23" t="str">
        <x:v>后续问题推荐</x:v>
      </x:c>
      <x:c r="F29" s="21" t="n">
        <x:v>1</x:v>
      </x:c>
      <x:c r="G29" s="21" t="str">
        <x:v>2026-08-14T07:27:29.470</x:v>
      </x:c>
      <x:c r="H29" s="36" t="n">
        <x:v>3148.598</x:v>
      </x:c>
      <x:c r="I29" s="36" t="n">
        <x:f>H29/1000</x:f>
        <x:v>3.148598</x:v>
      </x:c>
      <x:c r="J29" s="21" t="str">
        <x:v>dsv_modify_0814/dsv4_3_recipe_ds.jsonl</x:v>
      </x:c>
      <x:c r="K29" s="21" t="n">
        <x:v>8</x:v>
      </x:c>
      <x:c r="L29" s="21" t="str">
        <x:v>original精确文本</x:v>
      </x:c>
    </x:row>
    <x:row r="30">
      <x:c r="A30" s="38" t="n">
        <x:v>5</x:v>
      </x:c>
      <x:c r="B30" s="23" t="str">
        <x:v>找出CBN-福州晋安-高铁鼓山1号隧道洞室1C-HRRH站点下小区的经度和纬度。</x:v>
      </x:c>
      <x:c r="C30" s="23" t="str"/>
      <x:c r="D30" s="23" t="str">
        <x:v>AICO总结</x:v>
      </x:c>
      <x:c r="E30" s="23" t="str">
        <x:v>无tool_calls</x:v>
      </x:c>
      <x:c r="F30" s="21" t="n">
        <x:v>1</x:v>
      </x:c>
      <x:c r="G30" s="21" t="str">
        <x:v>2026-08-14T07:27:30.433</x:v>
      </x:c>
      <x:c r="H30" s="36" t="n">
        <x:v>2437.22</x:v>
      </x:c>
      <x:c r="I30" s="36" t="n">
        <x:f>H30/1000</x:f>
        <x:v>2.43722</x:v>
      </x:c>
      <x:c r="J30" s="21" t="str">
        <x:v>dsv_modify_0814/dsv4_3_aico.jsonl</x:v>
      </x:c>
      <x:c r="K30" s="21" t="n">
        <x:v>13</x:v>
      </x:c>
      <x:c r="L30" s="21" t="str">
        <x:v>original精确文本</x:v>
      </x:c>
    </x:row>
    <x:row r="31">
      <x:c r="A31" s="38" t="n">
        <x:v>5</x:v>
      </x:c>
      <x:c r="B31" s="23" t="str">
        <x:v>找出CBN-福州晋安-高铁鼓山1号隧道洞室1C-HRRH站点下小区的经度和纬度。</x:v>
      </x:c>
      <x:c r="C31" s="23" t="str"/>
      <x:c r="D31" s="23" t="str">
        <x:v>问题推荐</x:v>
      </x:c>
      <x:c r="E31" s="23" t="str">
        <x:v>后续问题推荐</x:v>
      </x:c>
      <x:c r="F31" s="21" t="n">
        <x:v>1</x:v>
      </x:c>
      <x:c r="G31" s="21" t="str">
        <x:v>2026-08-14T07:27:32.971</x:v>
      </x:c>
      <x:c r="H31" s="36" t="n">
        <x:v>3389.431</x:v>
      </x:c>
      <x:c r="I31" s="36" t="n">
        <x:f>H31/1000</x:f>
        <x:v>3.389431</x:v>
      </x:c>
      <x:c r="J31" s="21" t="str">
        <x:v>dsv_modify_0814/dsv4_3_recipe_ds.jsonl</x:v>
      </x:c>
      <x:c r="K31" s="21" t="n">
        <x:v>9</x:v>
      </x:c>
      <x:c r="L31" s="21" t="str">
        <x:v>original精确文本</x:v>
      </x:c>
    </x:row>
    <x:row r="32">
      <x:c r="A32" s="38" t="n">
        <x:v>6</x:v>
      </x:c>
      <x:c r="B32" s="23" t="str">
        <x:v>帮我查一下CBN-福州晋安-福厦高铁苔井山隧道入口（左侧）C-HRRH-513和CBN-福州仓山-福厦高铁鸡笼山隧道C-HRRH-513这两个小区的方位角、电子下倾角和机械下倾角。</x:v>
      </x:c>
      <x:c r="C32" s="23" t="str">
        <x:v>查询CBN-福州晋安-福厦高铁苔井山隧道入口（左侧）C-HRRH-513和CBN-福州仓山-福厦高铁鸡笼山隧道C-HRRH-513这两个小区的方位角、电子下倾角和机械下倾角</x:v>
      </x:c>
      <x:c r="D32" s="23" t="str">
        <x:v>AICO Tool Call - Skill</x:v>
      </x:c>
      <x:c r="E32" s="23" t="str">
        <x:v>Skill</x:v>
      </x:c>
      <x:c r="F32" s="21" t="n">
        <x:v>1</x:v>
      </x:c>
      <x:c r="G32" s="21" t="str">
        <x:v>2026-08-14T07:27:33.959</x:v>
      </x:c>
      <x:c r="H32" s="36" t="n">
        <x:v>2910.612</x:v>
      </x:c>
      <x:c r="I32" s="36" t="n">
        <x:f>H32/1000</x:f>
        <x:v>2.910612</x:v>
      </x:c>
      <x:c r="J32" s="21" t="str">
        <x:v>dsv_modify_0814/dsv4_3_aico.jsonl</x:v>
      </x:c>
      <x:c r="K32" s="21" t="n">
        <x:v>14</x:v>
      </x:c>
      <x:c r="L32" s="21" t="str">
        <x:v>original精确文本</x:v>
      </x:c>
    </x:row>
    <x:row r="33">
      <x:c r="A33" s="38" t="n">
        <x:v>6</x:v>
      </x:c>
      <x:c r="B33" s="23" t="str">
        <x:v>帮我查一下CBN-福州晋安-福厦高铁苔井山隧道入口（左侧）C-HRRH-513和CBN-福州仓山-福厦高铁鸡笼山隧道C-HRRH-513这两个小区的方位角、电子下倾角和机械下倾角。</x:v>
      </x:c>
      <x:c r="C33" s="23" t="str">
        <x:v>查询CBN-福州晋安-福厦高铁苔井山隧道入口（左侧）C-HRRH-513和CBN-福州仓山-福厦高铁鸡笼山隧道C-HRRH-513这两个小区的方位角、电子下倾角和机械下倾角</x:v>
      </x:c>
      <x:c r="D33" s="23" t="str">
        <x:v>AICO Tool Call - Workflow</x:v>
      </x:c>
      <x:c r="E33" s="23" t="str">
        <x:v>Workflow</x:v>
      </x:c>
      <x:c r="F33" s="21" t="n">
        <x:v>1</x:v>
      </x:c>
      <x:c r="G33" s="21" t="str">
        <x:v>2026-08-14T07:27:37.024</x:v>
      </x:c>
      <x:c r="H33" s="36" t="n">
        <x:v>2712.621</x:v>
      </x:c>
      <x:c r="I33" s="36" t="n">
        <x:f>H33/1000</x:f>
        <x:v>2.712621</x:v>
      </x:c>
      <x:c r="J33" s="21" t="str">
        <x:v>dsv_modify_0814/dsv4_3_aico.jsonl</x:v>
      </x:c>
      <x:c r="K33" s="21" t="n">
        <x:v>15</x:v>
      </x:c>
      <x:c r="L33" s="21" t="str">
        <x:v>original精确文本</x:v>
      </x:c>
    </x:row>
    <x:row r="34">
      <x:c r="A34" s="38" t="n">
        <x:v>6</x:v>
      </x:c>
      <x:c r="B34" s="23" t="str">
        <x:v>帮我查一下CBN-福州晋安-福厦高铁苔井山隧道入口（左侧）C-HRRH-513和CBN-福州仓山-福厦高铁鸡笼山隧道C-HRRH-513这两个小区的方位角、电子下倾角和机械下倾角。</x:v>
      </x:c>
      <x:c r="C34" s="23" t="str">
        <x:v>查询CBN-福州晋安-福厦高铁苔井山隧道入口（左侧）C-HRRH-513和CBN-福州仓山-福厦高铁鸡笼山隧道C-HRRH-513这两个小区的方位角、电子下倾角和机械下倾角</x:v>
      </x:c>
      <x:c r="D34" s="23" t="str">
        <x:v>Recipe - DeepSeek</x:v>
      </x:c>
      <x:c r="E34" s="23" t="str">
        <x:v>DeepSeek recipe调用</x:v>
      </x:c>
      <x:c r="F34" s="21" t="n">
        <x:v>1</x:v>
      </x:c>
      <x:c r="G34" s="21" t="str">
        <x:v>2026-08-14T07:27:40.929</x:v>
      </x:c>
      <x:c r="H34" s="36" t="n">
        <x:v>2787.321</x:v>
      </x:c>
      <x:c r="I34" s="36" t="n">
        <x:f>H34/1000</x:f>
        <x:v>2.787321</x:v>
      </x:c>
      <x:c r="J34" s="21" t="str">
        <x:v>dsv_modify_0814/dsv4_3_recipe_ds.jsonl</x:v>
      </x:c>
      <x:c r="K34" s="21" t="n">
        <x:v>10</x:v>
      </x:c>
      <x:c r="L34" s="21" t="str">
        <x:v>processed精确文本</x:v>
      </x:c>
    </x:row>
    <x:row r="35">
      <x:c r="A35" s="38" t="n">
        <x:v>6</x:v>
      </x:c>
      <x:c r="B35" s="23" t="str">
        <x:v>帮我查一下CBN-福州晋安-福厦高铁苔井山隧道入口（左侧）C-HRRH-513和CBN-福州仓山-福厦高铁鸡笼山隧道C-HRRH-513这两个小区的方位角、电子下倾角和机械下倾角。</x:v>
      </x:c>
      <x:c r="C35" s="23" t="str">
        <x:v>查询CBN-福州晋安-福厦高铁苔井山隧道入口（左侧）C-HRRH-513和CBN-福州仓山-福厦高铁鸡笼山隧道C-HRRH-513这两个小区的方位角、电子下倾角和机械下倾角</x:v>
      </x:c>
      <x:c r="D35" s="23" t="str">
        <x:v>Recipe - Qwen执行</x:v>
      </x:c>
      <x:c r="E35" s="23" t="str">
        <x:v>同一问题第1次Qwen调用</x:v>
      </x:c>
      <x:c r="F35" s="21" t="n">
        <x:v>1</x:v>
      </x:c>
      <x:c r="G35" s="21" t="str">
        <x:v>2026-08-14T07:27:44.042</x:v>
      </x:c>
      <x:c r="H35" s="36" t="n">
        <x:v>1860.52</x:v>
      </x:c>
      <x:c r="I35" s="36" t="n">
        <x:f>H35/1000</x:f>
        <x:v>1.86052</x:v>
      </x:c>
      <x:c r="J35" s="21" t="str">
        <x:v>dsv_modify_0814/qwen_3.jsonl</x:v>
      </x:c>
      <x:c r="K35" s="21" t="n">
        <x:v>9</x:v>
      </x:c>
      <x:c r="L35" s="21" t="str">
        <x:v>processed精确文本</x:v>
      </x:c>
    </x:row>
    <x:row r="36">
      <x:c r="A36" s="38" t="n">
        <x:v>6</x:v>
      </x:c>
      <x:c r="B36" s="23" t="str">
        <x:v>帮我查一下CBN-福州晋安-福厦高铁苔井山隧道入口（左侧）C-HRRH-513和CBN-福州仓山-福厦高铁鸡笼山隧道C-HRRH-513这两个小区的方位角、电子下倾角和机械下倾角。</x:v>
      </x:c>
      <x:c r="C36" s="23" t="str">
        <x:v>查询CBN-福州晋安-福厦高铁苔井山隧道入口（左侧）C-HRRH-513和CBN-福州仓山-福厦高铁鸡笼山隧道C-HRRH-513这两个小区的方位角、电子下倾角和机械下倾角</x:v>
      </x:c>
      <x:c r="D36" s="23" t="str">
        <x:v>Recipe - Qwen总结</x:v>
      </x:c>
      <x:c r="E36" s="23" t="str">
        <x:v>同一问题最后一次Qwen调用</x:v>
      </x:c>
      <x:c r="F36" s="21" t="n">
        <x:v>1</x:v>
      </x:c>
      <x:c r="G36" s="21" t="str">
        <x:v>2026-08-14T07:27:46.424</x:v>
      </x:c>
      <x:c r="H36" s="36" t="n">
        <x:v>3468.355</x:v>
      </x:c>
      <x:c r="I36" s="36" t="n">
        <x:f>H36/1000</x:f>
        <x:v>3.468355</x:v>
      </x:c>
      <x:c r="J36" s="21" t="str">
        <x:v>dsv_modify_0814/qwen_3.jsonl</x:v>
      </x:c>
      <x:c r="K36" s="21" t="n">
        <x:v>10</x:v>
      </x:c>
      <x:c r="L36" s="21" t="str">
        <x:v>processed精确文本</x:v>
      </x:c>
    </x:row>
    <x:row r="37">
      <x:c r="A37" s="38" t="n">
        <x:v>6</x:v>
      </x:c>
      <x:c r="B37" s="23" t="str">
        <x:v>帮我查一下CBN-福州晋安-福厦高铁苔井山隧道入口（左侧）C-HRRH-513和CBN-福州仓山-福厦高铁鸡笼山隧道C-HRRH-513这两个小区的方位角、电子下倾角和机械下倾角。</x:v>
      </x:c>
      <x:c r="C37" s="23" t="str">
        <x:v>查询CBN-福州晋安-福厦高铁苔井山隧道入口（左侧）C-HRRH-513和CBN-福州仓山-福厦高铁鸡笼山隧道C-HRRH-513这两个小区的方位角、电子下倾角和机械下倾角</x:v>
      </x:c>
      <x:c r="D37" s="23" t="str">
        <x:v>AICO总结</x:v>
      </x:c>
      <x:c r="E37" s="23" t="str">
        <x:v>无tool_calls</x:v>
      </x:c>
      <x:c r="F37" s="21" t="n">
        <x:v>1</x:v>
      </x:c>
      <x:c r="G37" s="21" t="str">
        <x:v>2026-08-14T07:27:50.146</x:v>
      </x:c>
      <x:c r="H37" s="36" t="n">
        <x:v>3834.212</x:v>
      </x:c>
      <x:c r="I37" s="36" t="n">
        <x:f>H37/1000</x:f>
        <x:v>3.834212</x:v>
      </x:c>
      <x:c r="J37" s="21" t="str">
        <x:v>dsv_modify_0814/dsv4_3_aico.jsonl</x:v>
      </x:c>
      <x:c r="K37" s="21" t="n">
        <x:v>16</x:v>
      </x:c>
      <x:c r="L37" s="21" t="str">
        <x:v>original精确文本</x:v>
      </x:c>
    </x:row>
    <x:row r="38">
      <x:c r="A38" s="38" t="n">
        <x:v>6</x:v>
      </x:c>
      <x:c r="B38" s="23" t="str">
        <x:v>帮我查一下CBN-福州晋安-福厦高铁苔井山隧道入口（左侧）C-HRRH-513和CBN-福州仓山-福厦高铁鸡笼山隧道C-HRRH-513这两个小区的方位角、电子下倾角和机械下倾角。</x:v>
      </x:c>
      <x:c r="C38" s="23" t="str">
        <x:v>查询CBN-福州晋安-福厦高铁苔井山隧道入口（左侧）C-HRRH-513和CBN-福州仓山-福厦高铁鸡笼山隧道C-HRRH-513这两个小区的方位角、电子下倾角和机械下倾角</x:v>
      </x:c>
      <x:c r="D38" s="23" t="str">
        <x:v>问题推荐</x:v>
      </x:c>
      <x:c r="E38" s="23" t="str">
        <x:v>后续问题推荐</x:v>
      </x:c>
      <x:c r="F38" s="21" t="n">
        <x:v>1</x:v>
      </x:c>
      <x:c r="G38" s="21" t="str">
        <x:v>2026-08-14T07:27:54.381</x:v>
      </x:c>
      <x:c r="H38" s="36" t="n">
        <x:v>3612.677</x:v>
      </x:c>
      <x:c r="I38" s="36" t="n">
        <x:f>H38/1000</x:f>
        <x:v>3.612677</x:v>
      </x:c>
      <x:c r="J38" s="21" t="str">
        <x:v>dsv_modify_0814/dsv4_3_recipe_ds.jsonl</x:v>
      </x:c>
      <x:c r="K38" s="21" t="n">
        <x:v>11</x:v>
      </x:c>
      <x:c r="L38" s="21" t="str">
        <x:v>original精确文本</x:v>
      </x:c>
    </x:row>
    <x:row r="39">
      <x:c r="A39" s="38" t="n">
        <x:v>7</x:v>
      </x:c>
      <x:c r="B39" s="23" t="str">
        <x:v>看一下深圳东华风车D-HRH和CBN-深圳上威梅沙二U-H5H这两个站点下小区的基站标识、纬度和设备厂商。</x:v>
      </x:c>
      <x:c r="C39" s="23" t="str">
        <x:v>查询深圳东华风车D-HRH和CBN-深圳上威梅沙二U-H5H这两个站点下小区的基站标识、纬度和设备厂商</x:v>
      </x:c>
      <x:c r="D39" s="23" t="str">
        <x:v>AICO Tool Call - Skill</x:v>
      </x:c>
      <x:c r="E39" s="23" t="str">
        <x:v>Skill</x:v>
      </x:c>
      <x:c r="F39" s="21" t="n">
        <x:v>1</x:v>
      </x:c>
      <x:c r="G39" s="21" t="str">
        <x:v>2026-08-14T07:27:55.259</x:v>
      </x:c>
      <x:c r="H39" s="36" t="n">
        <x:v>2550.942</x:v>
      </x:c>
      <x:c r="I39" s="36" t="n">
        <x:f>H39/1000</x:f>
        <x:v>2.550942</x:v>
      </x:c>
      <x:c r="J39" s="21" t="str">
        <x:v>dsv_modify_0814/dsv4_3_aico.jsonl</x:v>
      </x:c>
      <x:c r="K39" s="21" t="n">
        <x:v>17</x:v>
      </x:c>
      <x:c r="L39" s="21" t="str">
        <x:v>original精确文本</x:v>
      </x:c>
    </x:row>
    <x:row r="40">
      <x:c r="A40" s="38" t="n">
        <x:v>7</x:v>
      </x:c>
      <x:c r="B40" s="23" t="str">
        <x:v>看一下深圳东华风车D-HRH和CBN-深圳上威梅沙二U-H5H这两个站点下小区的基站标识、纬度和设备厂商。</x:v>
      </x:c>
      <x:c r="C40" s="23" t="str">
        <x:v>查询深圳东华风车D-HRH和CBN-深圳上威梅沙二U-H5H这两个站点下小区的基站标识、纬度和设备厂商</x:v>
      </x:c>
      <x:c r="D40" s="23" t="str">
        <x:v>AICO Tool Call - Workflow</x:v>
      </x:c>
      <x:c r="E40" s="23" t="str">
        <x:v>Workflow</x:v>
      </x:c>
      <x:c r="F40" s="21" t="n">
        <x:v>1</x:v>
      </x:c>
      <x:c r="G40" s="21" t="str">
        <x:v>2026-08-14T07:27:57.969</x:v>
      </x:c>
      <x:c r="H40" s="36" t="n">
        <x:v>2568.539</x:v>
      </x:c>
      <x:c r="I40" s="36" t="n">
        <x:f>H40/1000</x:f>
        <x:v>2.5685390000000003</x:v>
      </x:c>
      <x:c r="J40" s="21" t="str">
        <x:v>dsv_modify_0814/dsv4_3_aico.jsonl</x:v>
      </x:c>
      <x:c r="K40" s="21" t="n">
        <x:v>18</x:v>
      </x:c>
      <x:c r="L40" s="21" t="str">
        <x:v>original精确文本</x:v>
      </x:c>
    </x:row>
    <x:row r="41">
      <x:c r="A41" s="38" t="n">
        <x:v>7</x:v>
      </x:c>
      <x:c r="B41" s="23" t="str">
        <x:v>看一下深圳东华风车D-HRH和CBN-深圳上威梅沙二U-H5H这两个站点下小区的基站标识、纬度和设备厂商。</x:v>
      </x:c>
      <x:c r="C41" s="23" t="str">
        <x:v>查询深圳东华风车D-HRH和CBN-深圳上威梅沙二U-H5H这两个站点下小区的基站标识、纬度和设备厂商</x:v>
      </x:c>
      <x:c r="D41" s="23" t="str">
        <x:v>Recipe - DeepSeek</x:v>
      </x:c>
      <x:c r="E41" s="23" t="str">
        <x:v>DeepSeek recipe调用</x:v>
      </x:c>
      <x:c r="F41" s="21" t="n">
        <x:v>1</x:v>
      </x:c>
      <x:c r="G41" s="21" t="str">
        <x:v>2026-08-14T07:28:02.059</x:v>
      </x:c>
      <x:c r="H41" s="36" t="n">
        <x:v>2021.858</x:v>
      </x:c>
      <x:c r="I41" s="36" t="n">
        <x:f>H41/1000</x:f>
        <x:v>2.021858</x:v>
      </x:c>
      <x:c r="J41" s="21" t="str">
        <x:v>dsv_modify_0814/dsv4_3_recipe_ds.jsonl</x:v>
      </x:c>
      <x:c r="K41" s="21" t="n">
        <x:v>12</x:v>
      </x:c>
      <x:c r="L41" s="21" t="str">
        <x:v>processed精确文本</x:v>
      </x:c>
    </x:row>
    <x:row r="42">
      <x:c r="A42" s="38" t="n">
        <x:v>7</x:v>
      </x:c>
      <x:c r="B42" s="23" t="str">
        <x:v>看一下深圳东华风车D-HRH和CBN-深圳上威梅沙二U-H5H这两个站点下小区的基站标识、纬度和设备厂商。</x:v>
      </x:c>
      <x:c r="C42" s="23" t="str">
        <x:v>查询深圳东华风车D-HRH和CBN-深圳上威梅沙二U-H5H这两个站点下小区的基站标识、纬度和设备厂商</x:v>
      </x:c>
      <x:c r="D42" s="23" t="str">
        <x:v>Recipe - Qwen执行</x:v>
      </x:c>
      <x:c r="E42" s="23" t="str">
        <x:v>同一问题第1次Qwen调用</x:v>
      </x:c>
      <x:c r="F42" s="21" t="n">
        <x:v>1</x:v>
      </x:c>
      <x:c r="G42" s="21" t="str">
        <x:v>2026-08-14T07:28:04.431</x:v>
      </x:c>
      <x:c r="H42" s="36" t="n">
        <x:v>2279.425</x:v>
      </x:c>
      <x:c r="I42" s="36" t="n">
        <x:f>H42/1000</x:f>
        <x:v>2.2794250000000003</x:v>
      </x:c>
      <x:c r="J42" s="21" t="str">
        <x:v>dsv_modify_0814/qwen_3.jsonl</x:v>
      </x:c>
      <x:c r="K42" s="21" t="n">
        <x:v>11</x:v>
      </x:c>
      <x:c r="L42" s="21" t="str">
        <x:v>processed精确文本</x:v>
      </x:c>
    </x:row>
    <x:row r="43">
      <x:c r="A43" s="38" t="n">
        <x:v>7</x:v>
      </x:c>
      <x:c r="B43" s="23" t="str">
        <x:v>看一下深圳东华风车D-HRH和CBN-深圳上威梅沙二U-H5H这两个站点下小区的基站标识、纬度和设备厂商。</x:v>
      </x:c>
      <x:c r="C43" s="23" t="str">
        <x:v>查询深圳东华风车D-HRH和CBN-深圳上威梅沙二U-H5H这两个站点下小区的基站标识、纬度和设备厂商</x:v>
      </x:c>
      <x:c r="D43" s="23" t="str">
        <x:v>Recipe - Qwen执行</x:v>
      </x:c>
      <x:c r="E43" s="23" t="str">
        <x:v>同一问题第2次Qwen调用</x:v>
      </x:c>
      <x:c r="F43" s="21" t="n">
        <x:v>2</x:v>
      </x:c>
      <x:c r="G43" s="21" t="str">
        <x:v>2026-08-14T07:28:07.217</x:v>
      </x:c>
      <x:c r="H43" s="36" t="n">
        <x:v>2251.419</x:v>
      </x:c>
      <x:c r="I43" s="36" t="n">
        <x:f>H43/1000</x:f>
        <x:v>2.251419</x:v>
      </x:c>
      <x:c r="J43" s="21" t="str">
        <x:v>dsv_modify_0814/qwen_3.jsonl</x:v>
      </x:c>
      <x:c r="K43" s="21" t="n">
        <x:v>12</x:v>
      </x:c>
      <x:c r="L43" s="21" t="str">
        <x:v>processed精确文本</x:v>
      </x:c>
    </x:row>
    <x:row r="44">
      <x:c r="A44" s="38" t="n">
        <x:v>7</x:v>
      </x:c>
      <x:c r="B44" s="23" t="str">
        <x:v>看一下深圳东华风车D-HRH和CBN-深圳上威梅沙二U-H5H这两个站点下小区的基站标识、纬度和设备厂商。</x:v>
      </x:c>
      <x:c r="C44" s="23" t="str">
        <x:v>查询深圳东华风车D-HRH和CBN-深圳上威梅沙二U-H5H这两个站点下小区的基站标识、纬度和设备厂商</x:v>
      </x:c>
      <x:c r="D44" s="23" t="str">
        <x:v>Recipe - Qwen总结</x:v>
      </x:c>
      <x:c r="E44" s="23" t="str">
        <x:v>同一问题最后一次Qwen调用</x:v>
      </x:c>
      <x:c r="F44" s="21" t="n">
        <x:v>1</x:v>
      </x:c>
      <x:c r="G44" s="21" t="str">
        <x:v>2026-08-14T07:28:09.985</x:v>
      </x:c>
      <x:c r="H44" s="36" t="n">
        <x:v>1745.217</x:v>
      </x:c>
      <x:c r="I44" s="36" t="n">
        <x:f>H44/1000</x:f>
        <x:v>1.745217</x:v>
      </x:c>
      <x:c r="J44" s="21" t="str">
        <x:v>dsv_modify_0814/qwen_3.jsonl</x:v>
      </x:c>
      <x:c r="K44" s="21" t="n">
        <x:v>13</x:v>
      </x:c>
      <x:c r="L44" s="21" t="str">
        <x:v>processed精确文本</x:v>
      </x:c>
    </x:row>
    <x:row r="45">
      <x:c r="A45" s="38" t="n">
        <x:v>7</x:v>
      </x:c>
      <x:c r="B45" s="23" t="str">
        <x:v>看一下深圳东华风车D-HRH和CBN-深圳上威梅沙二U-H5H这两个站点下小区的基站标识、纬度和设备厂商。</x:v>
      </x:c>
      <x:c r="C45" s="23" t="str">
        <x:v>查询深圳东华风车D-HRH和CBN-深圳上威梅沙二U-H5H这两个站点下小区的基站标识、纬度和设备厂商</x:v>
      </x:c>
      <x:c r="D45" s="23" t="str">
        <x:v>AICO总结</x:v>
      </x:c>
      <x:c r="E45" s="23" t="str">
        <x:v>无tool_calls</x:v>
      </x:c>
      <x:c r="F45" s="21" t="n">
        <x:v>1</x:v>
      </x:c>
      <x:c r="G45" s="21" t="str">
        <x:v>2026-08-14T07:28:12.005</x:v>
      </x:c>
      <x:c r="H45" s="36" t="n">
        <x:v>2699.788</x:v>
      </x:c>
      <x:c r="I45" s="36" t="n">
        <x:f>H45/1000</x:f>
        <x:v>2.699788</x:v>
      </x:c>
      <x:c r="J45" s="21" t="str">
        <x:v>dsv_modify_0814/dsv4_3_aico.jsonl</x:v>
      </x:c>
      <x:c r="K45" s="21" t="n">
        <x:v>19</x:v>
      </x:c>
      <x:c r="L45" s="21" t="str">
        <x:v>original精确文本</x:v>
      </x:c>
    </x:row>
    <x:row r="46">
      <x:c r="A46" s="38" t="n">
        <x:v>7</x:v>
      </x:c>
      <x:c r="B46" s="23" t="str">
        <x:v>看一下深圳东华风车D-HRH和CBN-深圳上威梅沙二U-H5H这两个站点下小区的基站标识、纬度和设备厂商。</x:v>
      </x:c>
      <x:c r="C46" s="23" t="str">
        <x:v>查询深圳东华风车D-HRH和CBN-深圳上威梅沙二U-H5H这两个站点下小区的基站标识、纬度和设备厂商</x:v>
      </x:c>
      <x:c r="D46" s="23" t="str">
        <x:v>问题推荐</x:v>
      </x:c>
      <x:c r="E46" s="23" t="str">
        <x:v>后续问题推荐</x:v>
      </x:c>
      <x:c r="F46" s="21" t="n">
        <x:v>1</x:v>
      </x:c>
      <x:c r="G46" s="21" t="str">
        <x:v>2026-08-14T07:28:14.967</x:v>
      </x:c>
      <x:c r="H46" s="36" t="n">
        <x:v>2881.403</x:v>
      </x:c>
      <x:c r="I46" s="36" t="n">
        <x:f>H46/1000</x:f>
        <x:v>2.8814029999999997</x:v>
      </x:c>
      <x:c r="J46" s="21" t="str">
        <x:v>dsv_modify_0814/dsv4_3_recipe_ds.jsonl</x:v>
      </x:c>
      <x:c r="K46" s="21" t="n">
        <x:v>13</x:v>
      </x:c>
      <x:c r="L46" s="21" t="str">
        <x:v>original精确文本</x:v>
      </x:c>
    </x:row>
    <x:row r="47">
      <x:c r="A47" s="38" t="n">
        <x:v>8</x:v>
      </x:c>
      <x:c r="B47" s="23" t="str">
        <x:v>对比一下CBN-深圳梅沙湾U-H5H-0712、CBN-深圳梅沙湾U-H5H-0711和CBN-深圳东海岸三[CBN-深圳天麓八区U-H5H]U-H5H-0711这三个小区的移动国家码、方向角和天线高度。</x:v>
      </x:c>
      <x:c r="C47" s="23" t="str">
        <x:v>对比CBN-深圳梅沙湾U-H5H-0712、CBN-深圳梅沙湾U-H5H-0711和CBN-深圳东海岸三[CBN-深圳天麓八区U-H5H]U-H5H-0711这三个小区的移动国家码、方向角和天线高度</x:v>
      </x:c>
      <x:c r="D47" s="23" t="str">
        <x:v>AICO Tool Call - Skill</x:v>
      </x:c>
      <x:c r="E47" s="23" t="str">
        <x:v>Skill</x:v>
      </x:c>
      <x:c r="F47" s="21" t="n">
        <x:v>1</x:v>
      </x:c>
      <x:c r="G47" s="21" t="str">
        <x:v>2026-08-14T07:28:15.887</x:v>
      </x:c>
      <x:c r="H47" s="36" t="n">
        <x:v>2750.302</x:v>
      </x:c>
      <x:c r="I47" s="36" t="n">
        <x:f>H47/1000</x:f>
        <x:v>2.750302</x:v>
      </x:c>
      <x:c r="J47" s="21" t="str">
        <x:v>dsv_modify_0814/dsv4_3_aico.jsonl</x:v>
      </x:c>
      <x:c r="K47" s="21" t="n">
        <x:v>20</x:v>
      </x:c>
      <x:c r="L47" s="21" t="str">
        <x:v>original精确文本</x:v>
      </x:c>
    </x:row>
    <x:row r="48">
      <x:c r="A48" s="38" t="n">
        <x:v>8</x:v>
      </x:c>
      <x:c r="B48" s="23" t="str">
        <x:v>对比一下CBN-深圳梅沙湾U-H5H-0712、CBN-深圳梅沙湾U-H5H-0711和CBN-深圳东海岸三[CBN-深圳天麓八区U-H5H]U-H5H-0711这三个小区的移动国家码、方向角和天线高度。</x:v>
      </x:c>
      <x:c r="C48" s="23" t="str">
        <x:v>对比CBN-深圳梅沙湾U-H5H-0712、CBN-深圳梅沙湾U-H5H-0711和CBN-深圳东海岸三[CBN-深圳天麓八区U-H5H]U-H5H-0711这三个小区的移动国家码、方向角和天线高度</x:v>
      </x:c>
      <x:c r="D48" s="23" t="str">
        <x:v>AICO Tool Call - Workflow</x:v>
      </x:c>
      <x:c r="E48" s="23" t="str">
        <x:v>Workflow</x:v>
      </x:c>
      <x:c r="F48" s="21" t="n">
        <x:v>1</x:v>
      </x:c>
      <x:c r="G48" s="21" t="str">
        <x:v>2026-08-14T07:28:18.799</x:v>
      </x:c>
      <x:c r="H48" s="36" t="n">
        <x:v>3358.006</x:v>
      </x:c>
      <x:c r="I48" s="36" t="n">
        <x:f>H48/1000</x:f>
        <x:v>3.358006</x:v>
      </x:c>
      <x:c r="J48" s="21" t="str">
        <x:v>dsv_modify_0814/dsv4_3_aico.jsonl</x:v>
      </x:c>
      <x:c r="K48" s="21" t="n">
        <x:v>21</x:v>
      </x:c>
      <x:c r="L48" s="21" t="str">
        <x:v>original精确文本</x:v>
      </x:c>
    </x:row>
    <x:row r="49">
      <x:c r="A49" s="38" t="n">
        <x:v>8</x:v>
      </x:c>
      <x:c r="B49" s="23" t="str">
        <x:v>对比一下CBN-深圳梅沙湾U-H5H-0712、CBN-深圳梅沙湾U-H5H-0711和CBN-深圳东海岸三[CBN-深圳天麓八区U-H5H]U-H5H-0711这三个小区的移动国家码、方向角和天线高度。</x:v>
      </x:c>
      <x:c r="C49" s="23" t="str">
        <x:v>对比CBN-深圳梅沙湾U-H5H-0712、CBN-深圳梅沙湾U-H5H-0711和CBN-深圳东海岸三[CBN-深圳天麓八区U-H5H]U-H5H-0711这三个小区的移动国家码、方向角和天线高度</x:v>
      </x:c>
      <x:c r="D49" s="23" t="str">
        <x:v>Recipe - DeepSeek</x:v>
      </x:c>
      <x:c r="E49" s="23" t="str">
        <x:v>DeepSeek recipe调用</x:v>
      </x:c>
      <x:c r="F49" s="21" t="n">
        <x:v>1</x:v>
      </x:c>
      <x:c r="G49" s="21" t="str">
        <x:v>2026-08-14T07:28:23.324</x:v>
      </x:c>
      <x:c r="H49" s="36" t="n">
        <x:v>2355.739</x:v>
      </x:c>
      <x:c r="I49" s="36" t="n">
        <x:f>H49/1000</x:f>
        <x:v>2.3557390000000002</x:v>
      </x:c>
      <x:c r="J49" s="21" t="str">
        <x:v>dsv_modify_0814/dsv4_3_recipe_ds.jsonl</x:v>
      </x:c>
      <x:c r="K49" s="21" t="n">
        <x:v>14</x:v>
      </x:c>
      <x:c r="L49" s="21" t="str">
        <x:v>processed精确文本</x:v>
      </x:c>
    </x:row>
    <x:row r="50">
      <x:c r="A50" s="38" t="n">
        <x:v>8</x:v>
      </x:c>
      <x:c r="B50" s="23" t="str">
        <x:v>对比一下CBN-深圳梅沙湾U-H5H-0712、CBN-深圳梅沙湾U-H5H-0711和CBN-深圳东海岸三[CBN-深圳天麓八区U-H5H]U-H5H-0711这三个小区的移动国家码、方向角和天线高度。</x:v>
      </x:c>
      <x:c r="C50" s="23" t="str">
        <x:v>对比CBN-深圳梅沙湾U-H5H-0712、CBN-深圳梅沙湾U-H5H-0711和CBN-深圳东海岸三[CBN-深圳天麓八区U-H5H]U-H5H-0711这三个小区的移动国家码、方向角和天线高度</x:v>
      </x:c>
      <x:c r="D50" s="23" t="str">
        <x:v>Recipe - Qwen执行</x:v>
      </x:c>
      <x:c r="E50" s="23" t="str">
        <x:v>同一问题第1次Qwen调用</x:v>
      </x:c>
      <x:c r="F50" s="21" t="n">
        <x:v>1</x:v>
      </x:c>
      <x:c r="G50" s="21" t="str">
        <x:v>2026-08-14T07:28:26.033</x:v>
      </x:c>
      <x:c r="H50" s="36" t="n">
        <x:v>2260.649</x:v>
      </x:c>
      <x:c r="I50" s="36" t="n">
        <x:f>H50/1000</x:f>
        <x:v>2.260649</x:v>
      </x:c>
      <x:c r="J50" s="21" t="str">
        <x:v>dsv_modify_0814/qwen_3.jsonl</x:v>
      </x:c>
      <x:c r="K50" s="21" t="n">
        <x:v>14</x:v>
      </x:c>
      <x:c r="L50" s="21" t="str">
        <x:v>processed精确文本</x:v>
      </x:c>
    </x:row>
    <x:row r="51">
      <x:c r="A51" s="38" t="n">
        <x:v>8</x:v>
      </x:c>
      <x:c r="B51" s="23" t="str">
        <x:v>对比一下CBN-深圳梅沙湾U-H5H-0712、CBN-深圳梅沙湾U-H5H-0711和CBN-深圳东海岸三[CBN-深圳天麓八区U-H5H]U-H5H-0711这三个小区的移动国家码、方向角和天线高度。</x:v>
      </x:c>
      <x:c r="C51" s="23" t="str">
        <x:v>对比CBN-深圳梅沙湾U-H5H-0712、CBN-深圳梅沙湾U-H5H-0711和CBN-深圳东海岸三[CBN-深圳天麓八区U-H5H]U-H5H-0711这三个小区的移动国家码、方向角和天线高度</x:v>
      </x:c>
      <x:c r="D51" s="23" t="str">
        <x:v>Recipe - Qwen执行</x:v>
      </x:c>
      <x:c r="E51" s="23" t="str">
        <x:v>同一问题第2次Qwen调用</x:v>
      </x:c>
      <x:c r="F51" s="21" t="n">
        <x:v>2</x:v>
      </x:c>
      <x:c r="G51" s="21" t="str">
        <x:v>2026-08-14T07:28:28.774</x:v>
      </x:c>
      <x:c r="H51" s="36" t="n">
        <x:v>1971.575</x:v>
      </x:c>
      <x:c r="I51" s="36" t="n">
        <x:f>H51/1000</x:f>
        <x:v>1.971575</x:v>
      </x:c>
      <x:c r="J51" s="21" t="str">
        <x:v>dsv_modify_0814/qwen_3.jsonl</x:v>
      </x:c>
      <x:c r="K51" s="21" t="n">
        <x:v>15</x:v>
      </x:c>
      <x:c r="L51" s="21" t="str">
        <x:v>processed精确文本</x:v>
      </x:c>
    </x:row>
    <x:row r="52">
      <x:c r="A52" s="38" t="n">
        <x:v>8</x:v>
      </x:c>
      <x:c r="B52" s="23" t="str">
        <x:v>对比一下CBN-深圳梅沙湾U-H5H-0712、CBN-深圳梅沙湾U-H5H-0711和CBN-深圳东海岸三[CBN-深圳天麓八区U-H5H]U-H5H-0711这三个小区的移动国家码、方向角和天线高度。</x:v>
      </x:c>
      <x:c r="C52" s="23" t="str">
        <x:v>对比CBN-深圳梅沙湾U-H5H-0712、CBN-深圳梅沙湾U-H5H-0711和CBN-深圳东海岸三[CBN-深圳天麓八区U-H5H]U-H5H-0711这三个小区的移动国家码、方向角和天线高度</x:v>
      </x:c>
      <x:c r="D52" s="23" t="str">
        <x:v>Recipe - Qwen总结</x:v>
      </x:c>
      <x:c r="E52" s="23" t="str">
        <x:v>同一问题最后一次Qwen调用</x:v>
      </x:c>
      <x:c r="F52" s="21" t="n">
        <x:v>1</x:v>
      </x:c>
      <x:c r="G52" s="21" t="str">
        <x:v>2026-08-14T07:28:31.272</x:v>
      </x:c>
      <x:c r="H52" s="36" t="n">
        <x:v>4286.198</x:v>
      </x:c>
      <x:c r="I52" s="36" t="n">
        <x:f>H52/1000</x:f>
        <x:v>4.286198000000001</x:v>
      </x:c>
      <x:c r="J52" s="21" t="str">
        <x:v>dsv_modify_0814/qwen_3.jsonl</x:v>
      </x:c>
      <x:c r="K52" s="21" t="n">
        <x:v>16</x:v>
      </x:c>
      <x:c r="L52" s="21" t="str">
        <x:v>processed精确文本</x:v>
      </x:c>
    </x:row>
    <x:row r="53">
      <x:c r="A53" s="38" t="n">
        <x:v>8</x:v>
      </x:c>
      <x:c r="B53" s="23" t="str">
        <x:v>对比一下CBN-深圳梅沙湾U-H5H-0712、CBN-深圳梅沙湾U-H5H-0711和CBN-深圳东海岸三[CBN-深圳天麓八区U-H5H]U-H5H-0711这三个小区的移动国家码、方向角和天线高度。</x:v>
      </x:c>
      <x:c r="C53" s="23" t="str">
        <x:v>对比CBN-深圳梅沙湾U-H5H-0712、CBN-深圳梅沙湾U-H5H-0711和CBN-深圳东海岸三[CBN-深圳天麓八区U-H5H]U-H5H-0711这三个小区的移动国家码、方向角和天线高度</x:v>
      </x:c>
      <x:c r="D53" s="23" t="str">
        <x:v>AICO总结</x:v>
      </x:c>
      <x:c r="E53" s="23" t="str">
        <x:v>无tool_calls</x:v>
      </x:c>
      <x:c r="F53" s="21" t="n">
        <x:v>1</x:v>
      </x:c>
      <x:c r="G53" s="21" t="str">
        <x:v>2026-08-14T07:28:35.809</x:v>
      </x:c>
      <x:c r="H53" s="36" t="n">
        <x:v>2494.571</x:v>
      </x:c>
      <x:c r="I53" s="36" t="n">
        <x:f>H53/1000</x:f>
        <x:v>2.494571</x:v>
      </x:c>
      <x:c r="J53" s="21" t="str">
        <x:v>dsv_modify_0814/dsv4_3_aico.jsonl</x:v>
      </x:c>
      <x:c r="K53" s="21" t="n">
        <x:v>22</x:v>
      </x:c>
      <x:c r="L53" s="21" t="str">
        <x:v>original精确文本</x:v>
      </x:c>
    </x:row>
    <x:row r="54">
      <x:c r="A54" s="38" t="n">
        <x:v>8</x:v>
      </x:c>
      <x:c r="B54" s="23" t="str">
        <x:v>对比一下CBN-深圳梅沙湾U-H5H-0712、CBN-深圳梅沙湾U-H5H-0711和CBN-深圳东海岸三[CBN-深圳天麓八区U-H5H]U-H5H-0711这三个小区的移动国家码、方向角和天线高度。</x:v>
      </x:c>
      <x:c r="C54" s="23" t="str">
        <x:v>对比CBN-深圳梅沙湾U-H5H-0712、CBN-深圳梅沙湾U-H5H-0711和CBN-深圳东海岸三[CBN-深圳天麓八区U-H5H]U-H5H-0711这三个小区的移动国家码、方向角和天线高度</x:v>
      </x:c>
      <x:c r="D54" s="23" t="str">
        <x:v>问题推荐</x:v>
      </x:c>
      <x:c r="E54" s="23" t="str">
        <x:v>后续问题推荐</x:v>
      </x:c>
      <x:c r="F54" s="21" t="n">
        <x:v>1</x:v>
      </x:c>
      <x:c r="G54" s="21" t="str">
        <x:v>2026-08-14T07:28:38.572</x:v>
      </x:c>
      <x:c r="H54" s="36" t="n">
        <x:v>1161.214</x:v>
      </x:c>
      <x:c r="I54" s="36" t="n">
        <x:f>H54/1000</x:f>
        <x:v>1.161214</x:v>
      </x:c>
      <x:c r="J54" s="21" t="str">
        <x:v>dsv_modify_0814/dsv4_3_recipe_ds.jsonl</x:v>
      </x:c>
      <x:c r="K54" s="21" t="n">
        <x:v>15</x:v>
      </x:c>
      <x:c r="L54" s="21" t="str">
        <x:v>original精确文本</x:v>
      </x:c>
    </x:row>
    <x:row r="55">
      <x:c r="A55" s="38" t="n">
        <x:v>9</x:v>
      </x:c>
      <x:c r="B55" s="23" t="str">
        <x:v>找出CBN-福州晋安-站东路三环北路交叉西C-HRRH和CBN-福州仓山-高铁鸡笼山隧道入口C-HRRH这两个站点下小区的经度、纬度和方位角。</x:v>
      </x:c>
      <x:c r="C55" s="23" t="str">
        <x:v>找出CBN-福州晋安-站东路三环北路交叉西C-HRRH和CBN-福州仓山-高铁鸡笼山隧道入口C-HRRH这两个站点下小区的经度、纬度和方位角</x:v>
      </x:c>
      <x:c r="D55" s="23" t="str">
        <x:v>AICO Tool Call - Skill</x:v>
      </x:c>
      <x:c r="E55" s="23" t="str">
        <x:v>Skill</x:v>
      </x:c>
      <x:c r="F55" s="21" t="n">
        <x:v>1</x:v>
      </x:c>
      <x:c r="G55" s="21" t="str">
        <x:v>2026-08-14T07:28:39.457</x:v>
      </x:c>
      <x:c r="H55" s="36" t="n">
        <x:v>3189.465</x:v>
      </x:c>
      <x:c r="I55" s="36" t="n">
        <x:f>H55/1000</x:f>
        <x:v>3.189465</x:v>
      </x:c>
      <x:c r="J55" s="21" t="str">
        <x:v>dsv_modify_0814/dsv4_3_aico.jsonl</x:v>
      </x:c>
      <x:c r="K55" s="21" t="n">
        <x:v>23</x:v>
      </x:c>
      <x:c r="L55" s="21" t="str">
        <x:v>original精确文本</x:v>
      </x:c>
    </x:row>
    <x:row r="56">
      <x:c r="A56" s="38" t="n">
        <x:v>9</x:v>
      </x:c>
      <x:c r="B56" s="23" t="str">
        <x:v>找出CBN-福州晋安-站东路三环北路交叉西C-HRRH和CBN-福州仓山-高铁鸡笼山隧道入口C-HRRH这两个站点下小区的经度、纬度和方位角。</x:v>
      </x:c>
      <x:c r="C56" s="23" t="str">
        <x:v>找出CBN-福州晋安-站东路三环北路交叉西C-HRRH和CBN-福州仓山-高铁鸡笼山隧道入口C-HRRH这两个站点下小区的经度、纬度和方位角</x:v>
      </x:c>
      <x:c r="D56" s="23" t="str">
        <x:v>AICO Tool Call - Workflow</x:v>
      </x:c>
      <x:c r="E56" s="23" t="str">
        <x:v>Workflow</x:v>
      </x:c>
      <x:c r="F56" s="21" t="n">
        <x:v>1</x:v>
      </x:c>
      <x:c r="G56" s="21" t="str">
        <x:v>2026-08-14T07:28:42.810</x:v>
      </x:c>
      <x:c r="H56" s="36" t="n">
        <x:v>2918.38</x:v>
      </x:c>
      <x:c r="I56" s="36" t="n">
        <x:f>H56/1000</x:f>
        <x:v>2.91838</x:v>
      </x:c>
      <x:c r="J56" s="21" t="str">
        <x:v>dsv_modify_0814/dsv4_3_aico.jsonl</x:v>
      </x:c>
      <x:c r="K56" s="21" t="n">
        <x:v>24</x:v>
      </x:c>
      <x:c r="L56" s="21" t="str">
        <x:v>original精确文本</x:v>
      </x:c>
    </x:row>
    <x:row r="57">
      <x:c r="A57" s="38" t="n">
        <x:v>9</x:v>
      </x:c>
      <x:c r="B57" s="23" t="str">
        <x:v>找出CBN-福州晋安-站东路三环北路交叉西C-HRRH和CBN-福州仓山-高铁鸡笼山隧道入口C-HRRH这两个站点下小区的经度、纬度和方位角。</x:v>
      </x:c>
      <x:c r="C57" s="23" t="str">
        <x:v>找出CBN-福州晋安-站东路三环北路交叉西C-HRRH和CBN-福州仓山-高铁鸡笼山隧道入口C-HRRH这两个站点下小区的经度、纬度和方位角</x:v>
      </x:c>
      <x:c r="D57" s="23" t="str">
        <x:v>Recipe - DeepSeek</x:v>
      </x:c>
      <x:c r="E57" s="23" t="str">
        <x:v>DeepSeek recipe调用</x:v>
      </x:c>
      <x:c r="F57" s="21" t="n">
        <x:v>1</x:v>
      </x:c>
      <x:c r="G57" s="21" t="str">
        <x:v>2026-08-14T07:28:47.086</x:v>
      </x:c>
      <x:c r="H57" s="36" t="n">
        <x:v>2187.201</x:v>
      </x:c>
      <x:c r="I57" s="36" t="n">
        <x:f>H57/1000</x:f>
        <x:v>2.187201</x:v>
      </x:c>
      <x:c r="J57" s="21" t="str">
        <x:v>dsv_modify_0814/dsv4_3_recipe_ds.jsonl</x:v>
      </x:c>
      <x:c r="K57" s="21" t="n">
        <x:v>16</x:v>
      </x:c>
      <x:c r="L57" s="21" t="str">
        <x:v>processed精确文本</x:v>
      </x:c>
    </x:row>
    <x:row r="58">
      <x:c r="A58" s="38" t="n">
        <x:v>9</x:v>
      </x:c>
      <x:c r="B58" s="23" t="str">
        <x:v>找出CBN-福州晋安-站东路三环北路交叉西C-HRRH和CBN-福州仓山-高铁鸡笼山隧道入口C-HRRH这两个站点下小区的经度、纬度和方位角。</x:v>
      </x:c>
      <x:c r="C58" s="23" t="str">
        <x:v>找出CBN-福州晋安-站东路三环北路交叉西C-HRRH和CBN-福州仓山-高铁鸡笼山隧道入口C-HRRH这两个站点下小区的经度、纬度和方位角</x:v>
      </x:c>
      <x:c r="D58" s="23" t="str">
        <x:v>Recipe - Qwen执行</x:v>
      </x:c>
      <x:c r="E58" s="23" t="str">
        <x:v>同一问题第1次Qwen调用</x:v>
      </x:c>
      <x:c r="F58" s="21" t="n">
        <x:v>1</x:v>
      </x:c>
      <x:c r="G58" s="21" t="str">
        <x:v>2026-08-14T07:28:49.612</x:v>
      </x:c>
      <x:c r="H58" s="36" t="n">
        <x:v>1809.194</x:v>
      </x:c>
      <x:c r="I58" s="36" t="n">
        <x:f>H58/1000</x:f>
        <x:v>1.809194</x:v>
      </x:c>
      <x:c r="J58" s="21" t="str">
        <x:v>dsv_modify_0814/qwen_3.jsonl</x:v>
      </x:c>
      <x:c r="K58" s="21" t="n">
        <x:v>17</x:v>
      </x:c>
      <x:c r="L58" s="21" t="str">
        <x:v>processed精确文本</x:v>
      </x:c>
    </x:row>
    <x:row r="59">
      <x:c r="A59" s="38" t="n">
        <x:v>9</x:v>
      </x:c>
      <x:c r="B59" s="23" t="str">
        <x:v>找出CBN-福州晋安-站东路三环北路交叉西C-HRRH和CBN-福州仓山-高铁鸡笼山隧道入口C-HRRH这两个站点下小区的经度、纬度和方位角。</x:v>
      </x:c>
      <x:c r="C59" s="23" t="str">
        <x:v>找出CBN-福州晋安-站东路三环北路交叉西C-HRRH和CBN-福州仓山-高铁鸡笼山隧道入口C-HRRH这两个站点下小区的经度、纬度和方位角</x:v>
      </x:c>
      <x:c r="D59" s="23" t="str">
        <x:v>Recipe - Qwen总结</x:v>
      </x:c>
      <x:c r="E59" s="23" t="str">
        <x:v>同一问题最后一次Qwen调用</x:v>
      </x:c>
      <x:c r="F59" s="21" t="n">
        <x:v>1</x:v>
      </x:c>
      <x:c r="G59" s="21" t="str">
        <x:v>2026-08-14T07:28:51.927</x:v>
      </x:c>
      <x:c r="H59" s="36" t="n">
        <x:v>3281.006</x:v>
      </x:c>
      <x:c r="I59" s="36" t="n">
        <x:f>H59/1000</x:f>
        <x:v>3.2810059999999996</x:v>
      </x:c>
      <x:c r="J59" s="21" t="str">
        <x:v>dsv_modify_0814/qwen_3.jsonl</x:v>
      </x:c>
      <x:c r="K59" s="21" t="n">
        <x:v>18</x:v>
      </x:c>
      <x:c r="L59" s="21" t="str">
        <x:v>processed精确文本</x:v>
      </x:c>
    </x:row>
    <x:row r="60">
      <x:c r="A60" s="38" t="n">
        <x:v>9</x:v>
      </x:c>
      <x:c r="B60" s="23" t="str">
        <x:v>找出CBN-福州晋安-站东路三环北路交叉西C-HRRH和CBN-福州仓山-高铁鸡笼山隧道入口C-HRRH这两个站点下小区的经度、纬度和方位角。</x:v>
      </x:c>
      <x:c r="C60" s="23" t="str">
        <x:v>找出CBN-福州晋安-站东路三环北路交叉西C-HRRH和CBN-福州仓山-高铁鸡笼山隧道入口C-HRRH这两个站点下小区的经度、纬度和方位角</x:v>
      </x:c>
      <x:c r="D60" s="23" t="str">
        <x:v>AICO其他工具</x:v>
      </x:c>
      <x:c r="E60" s="23" t="str">
        <x:v>Read</x:v>
      </x:c>
      <x:c r="F60" s="21" t="n">
        <x:v>1</x:v>
      </x:c>
      <x:c r="G60" s="21" t="str">
        <x:v>2026-08-14T07:28:55.479</x:v>
      </x:c>
      <x:c r="H60" s="36" t="n">
        <x:v>2253.822</x:v>
      </x:c>
      <x:c r="I60" s="36" t="n">
        <x:f>H60/1000</x:f>
        <x:v>2.253822</x:v>
      </x:c>
      <x:c r="J60" s="21" t="str">
        <x:v>dsv_modify_0814/dsv4_3_aico.jsonl</x:v>
      </x:c>
      <x:c r="K60" s="21" t="n">
        <x:v>25</x:v>
      </x:c>
      <x:c r="L60" s="21" t="str">
        <x:v>original精确文本</x:v>
      </x:c>
    </x:row>
    <x:row r="61">
      <x:c r="A61" s="38" t="n">
        <x:v>9</x:v>
      </x:c>
      <x:c r="B61" s="23" t="str">
        <x:v>找出CBN-福州晋安-站东路三环北路交叉西C-HRRH和CBN-福州仓山-高铁鸡笼山隧道入口C-HRRH这两个站点下小区的经度、纬度和方位角。</x:v>
      </x:c>
      <x:c r="C61" s="23" t="str">
        <x:v>找出CBN-福州晋安-站东路三环北路交叉西C-HRRH和CBN-福州仓山-高铁鸡笼山隧道入口C-HRRH这两个站点下小区的经度、纬度和方位角</x:v>
      </x:c>
      <x:c r="D61" s="23" t="str">
        <x:v>AICO总结</x:v>
      </x:c>
      <x:c r="E61" s="23" t="str">
        <x:v>无tool_calls</x:v>
      </x:c>
      <x:c r="F61" s="21" t="n">
        <x:v>1</x:v>
      </x:c>
      <x:c r="G61" s="21" t="str">
        <x:v>2026-08-14T07:28:57.897</x:v>
      </x:c>
      <x:c r="H61" s="36" t="n">
        <x:v>3913.296</x:v>
      </x:c>
      <x:c r="I61" s="36" t="n">
        <x:f>H61/1000</x:f>
        <x:v>3.913296</x:v>
      </x:c>
      <x:c r="J61" s="21" t="str">
        <x:v>dsv_modify_0814/dsv4_3_aico.jsonl</x:v>
      </x:c>
      <x:c r="K61" s="21" t="n">
        <x:v>26</x:v>
      </x:c>
      <x:c r="L61" s="21" t="str">
        <x:v>original精确文本</x:v>
      </x:c>
    </x:row>
    <x:row r="62">
      <x:c r="A62" s="38" t="n">
        <x:v>9</x:v>
      </x:c>
      <x:c r="B62" s="23" t="str">
        <x:v>找出CBN-福州晋安-站东路三环北路交叉西C-HRRH和CBN-福州仓山-高铁鸡笼山隧道入口C-HRRH这两个站点下小区的经度、纬度和方位角。</x:v>
      </x:c>
      <x:c r="C62" s="23" t="str">
        <x:v>找出CBN-福州晋安-站东路三环北路交叉西C-HRRH和CBN-福州仓山-高铁鸡笼山隧道入口C-HRRH这两个站点下小区的经度、纬度和方位角</x:v>
      </x:c>
      <x:c r="D62" s="23" t="str">
        <x:v>问题推荐</x:v>
      </x:c>
      <x:c r="E62" s="23" t="str">
        <x:v>后续问题推荐</x:v>
      </x:c>
      <x:c r="F62" s="21" t="n">
        <x:v>1</x:v>
      </x:c>
      <x:c r="G62" s="21" t="str">
        <x:v>2026-08-14T07:29:02.134</x:v>
      </x:c>
      <x:c r="H62" s="36" t="n">
        <x:v>4059</x:v>
      </x:c>
      <x:c r="I62" s="36" t="n">
        <x:f>H62/1000</x:f>
        <x:v>4.059</x:v>
      </x:c>
      <x:c r="J62" s="21" t="str">
        <x:v>dsv_modify_0814/dsv4_3_recipe_ds.jsonl</x:v>
      </x:c>
      <x:c r="K62" s="21" t="n">
        <x:v>17</x:v>
      </x:c>
      <x:c r="L62" s="21" t="str">
        <x:v>original精确文本</x:v>
      </x:c>
    </x:row>
    <x:row r="63">
      <x:c r="A63" s="38" t="n">
        <x:v>10</x:v>
      </x:c>
      <x:c r="B63" s="23" t="str">
        <x:v>确认一下CBN-福州晋安-东浦新村4号楼C-HRHH-512、CBN-福州晋安-东浦新村4号楼C-HRHH-514和深圳大梅沙D-HRH-3这三个小区的站点名称、小区标识和电子下倾角。</x:v>
      </x:c>
      <x:c r="C63" s="23" t="str">
        <x:v>查询CBN-福州晋安-东浦新村4号楼C-HRHH-512、CBN-福州晋安-东浦新村4号楼C-HRHH-514和深圳大梅沙D-HRH-3这三个小区的站点名称、小区标识和电子下倾角</x:v>
      </x:c>
      <x:c r="D63" s="23" t="str">
        <x:v>AICO Tool Call - Skill</x:v>
      </x:c>
      <x:c r="E63" s="23" t="str">
        <x:v>Skill</x:v>
      </x:c>
      <x:c r="F63" s="21" t="n">
        <x:v>1</x:v>
      </x:c>
      <x:c r="G63" s="21" t="str">
        <x:v>2026-08-14T07:29:02.990</x:v>
      </x:c>
      <x:c r="H63" s="36" t="n">
        <x:v>3503.365</x:v>
      </x:c>
      <x:c r="I63" s="36" t="n">
        <x:f>H63/1000</x:f>
        <x:v>3.5033649999999996</x:v>
      </x:c>
      <x:c r="J63" s="21" t="str">
        <x:v>dsv_modify_0814/dsv4_3_aico.jsonl</x:v>
      </x:c>
      <x:c r="K63" s="21" t="n">
        <x:v>27</x:v>
      </x:c>
      <x:c r="L63" s="21" t="str">
        <x:v>original精确文本</x:v>
      </x:c>
    </x:row>
    <x:row r="64">
      <x:c r="A64" s="38" t="n">
        <x:v>10</x:v>
      </x:c>
      <x:c r="B64" s="23" t="str">
        <x:v>确认一下CBN-福州晋安-东浦新村4号楼C-HRHH-512、CBN-福州晋安-东浦新村4号楼C-HRHH-514和深圳大梅沙D-HRH-3这三个小区的站点名称、小区标识和电子下倾角。</x:v>
      </x:c>
      <x:c r="C64" s="23" t="str">
        <x:v>查询CBN-福州晋安-东浦新村4号楼C-HRHH-512、CBN-福州晋安-东浦新村4号楼C-HRHH-514和深圳大梅沙D-HRH-3这三个小区的站点名称、小区标识和电子下倾角</x:v>
      </x:c>
      <x:c r="D64" s="23" t="str">
        <x:v>AICO Tool Call - Workflow</x:v>
      </x:c>
      <x:c r="E64" s="23" t="str">
        <x:v>Workflow</x:v>
      </x:c>
      <x:c r="F64" s="21" t="n">
        <x:v>1</x:v>
      </x:c>
      <x:c r="G64" s="21" t="str">
        <x:v>2026-08-14T07:29:06.648</x:v>
      </x:c>
      <x:c r="H64" s="36" t="n">
        <x:v>2767.922</x:v>
      </x:c>
      <x:c r="I64" s="36" t="n">
        <x:f>H64/1000</x:f>
        <x:v>2.767922</x:v>
      </x:c>
      <x:c r="J64" s="21" t="str">
        <x:v>dsv_modify_0814/dsv4_3_aico.jsonl</x:v>
      </x:c>
      <x:c r="K64" s="21" t="n">
        <x:v>28</x:v>
      </x:c>
      <x:c r="L64" s="21" t="str">
        <x:v>original精确文本</x:v>
      </x:c>
    </x:row>
    <x:row r="65">
      <x:c r="A65" s="38" t="n">
        <x:v>10</x:v>
      </x:c>
      <x:c r="B65" s="23" t="str">
        <x:v>确认一下CBN-福州晋安-东浦新村4号楼C-HRHH-512、CBN-福州晋安-东浦新村4号楼C-HRHH-514和深圳大梅沙D-HRH-3这三个小区的站点名称、小区标识和电子下倾角。</x:v>
      </x:c>
      <x:c r="C65" s="23" t="str">
        <x:v>查询CBN-福州晋安-东浦新村4号楼C-HRHH-512、CBN-福州晋安-东浦新村4号楼C-HRHH-514和深圳大梅沙D-HRH-3这三个小区的站点名称、小区标识和电子下倾角</x:v>
      </x:c>
      <x:c r="D65" s="23" t="str">
        <x:v>Recipe - DeepSeek</x:v>
      </x:c>
      <x:c r="E65" s="23" t="str">
        <x:v>DeepSeek recipe调用</x:v>
      </x:c>
      <x:c r="F65" s="21" t="n">
        <x:v>1</x:v>
      </x:c>
      <x:c r="G65" s="21" t="str">
        <x:v>2026-08-14T07:29:10.806</x:v>
      </x:c>
      <x:c r="H65" s="36" t="n">
        <x:v>2374.587</x:v>
      </x:c>
      <x:c r="I65" s="36" t="n">
        <x:f>H65/1000</x:f>
        <x:v>2.374587</x:v>
      </x:c>
      <x:c r="J65" s="21" t="str">
        <x:v>dsv_modify_0814/dsv4_3_recipe_ds.jsonl</x:v>
      </x:c>
      <x:c r="K65" s="21" t="n">
        <x:v>18</x:v>
      </x:c>
      <x:c r="L65" s="21" t="str">
        <x:v>processed精确文本</x:v>
      </x:c>
    </x:row>
    <x:row r="66">
      <x:c r="A66" s="38" t="n">
        <x:v>10</x:v>
      </x:c>
      <x:c r="B66" s="23" t="str">
        <x:v>确认一下CBN-福州晋安-东浦新村4号楼C-HRHH-512、CBN-福州晋安-东浦新村4号楼C-HRHH-514和深圳大梅沙D-HRH-3这三个小区的站点名称、小区标识和电子下倾角。</x:v>
      </x:c>
      <x:c r="C66" s="23" t="str">
        <x:v>查询CBN-福州晋安-东浦新村4号楼C-HRHH-512、CBN-福州晋安-东浦新村4号楼C-HRHH-514和深圳大梅沙D-HRH-3这三个小区的站点名称、小区标识和电子下倾角</x:v>
      </x:c>
      <x:c r="D66" s="23" t="str">
        <x:v>Recipe - Qwen执行</x:v>
      </x:c>
      <x:c r="E66" s="23" t="str">
        <x:v>同一问题第1次Qwen调用</x:v>
      </x:c>
      <x:c r="F66" s="21" t="n">
        <x:v>1</x:v>
      </x:c>
      <x:c r="G66" s="21" t="str">
        <x:v>2026-08-14T07:29:13.532</x:v>
      </x:c>
      <x:c r="H66" s="36" t="n">
        <x:v>2380.682</x:v>
      </x:c>
      <x:c r="I66" s="36" t="n">
        <x:f>H66/1000</x:f>
        <x:v>2.3806819999999997</x:v>
      </x:c>
      <x:c r="J66" s="21" t="str">
        <x:v>dsv_modify_0814/qwen_3.jsonl</x:v>
      </x:c>
      <x:c r="K66" s="21" t="n">
        <x:v>19</x:v>
      </x:c>
      <x:c r="L66" s="21" t="str">
        <x:v>processed精确文本</x:v>
      </x:c>
    </x:row>
    <x:row r="67">
      <x:c r="A67" s="38" t="n">
        <x:v>10</x:v>
      </x:c>
      <x:c r="B67" s="23" t="str">
        <x:v>确认一下CBN-福州晋安-东浦新村4号楼C-HRHH-512、CBN-福州晋安-东浦新村4号楼C-HRHH-514和深圳大梅沙D-HRH-3这三个小区的站点名称、小区标识和电子下倾角。</x:v>
      </x:c>
      <x:c r="C67" s="23" t="str">
        <x:v>查询CBN-福州晋安-东浦新村4号楼C-HRHH-512、CBN-福州晋安-东浦新村4号楼C-HRHH-514和深圳大梅沙D-HRH-3这三个小区的站点名称、小区标识和电子下倾角</x:v>
      </x:c>
      <x:c r="D67" s="23" t="str">
        <x:v>Recipe - Qwen总结</x:v>
      </x:c>
      <x:c r="E67" s="23" t="str">
        <x:v>同一问题最后一次Qwen调用</x:v>
      </x:c>
      <x:c r="F67" s="21" t="n">
        <x:v>1</x:v>
      </x:c>
      <x:c r="G67" s="21" t="str">
        <x:v>2026-08-14T07:29:16.414</x:v>
      </x:c>
      <x:c r="H67" s="36" t="n">
        <x:v>4110.263</x:v>
      </x:c>
      <x:c r="I67" s="36" t="n">
        <x:f>H67/1000</x:f>
        <x:v>4.110263</x:v>
      </x:c>
      <x:c r="J67" s="21" t="str">
        <x:v>dsv_modify_0814/qwen_3.jsonl</x:v>
      </x:c>
      <x:c r="K67" s="21" t="n">
        <x:v>20</x:v>
      </x:c>
      <x:c r="L67" s="21" t="str">
        <x:v>processed精确文本</x:v>
      </x:c>
    </x:row>
    <x:row r="68">
      <x:c r="A68" s="38" t="n">
        <x:v>10</x:v>
      </x:c>
      <x:c r="B68" s="23" t="str">
        <x:v>确认一下CBN-福州晋安-东浦新村4号楼C-HRHH-512、CBN-福州晋安-东浦新村4号楼C-HRHH-514和深圳大梅沙D-HRH-3这三个小区的站点名称、小区标识和电子下倾角。</x:v>
      </x:c>
      <x:c r="C68" s="23" t="str">
        <x:v>查询CBN-福州晋安-东浦新村4号楼C-HRHH-512、CBN-福州晋安-东浦新村4号楼C-HRHH-514和深圳大梅沙D-HRH-3这三个小区的站点名称、小区标识和电子下倾角</x:v>
      </x:c>
      <x:c r="D68" s="23" t="str">
        <x:v>AICO总结</x:v>
      </x:c>
      <x:c r="E68" s="23" t="str">
        <x:v>无tool_calls</x:v>
      </x:c>
      <x:c r="F68" s="21" t="n">
        <x:v>1</x:v>
      </x:c>
      <x:c r="G68" s="21" t="str">
        <x:v>2026-08-14T07:29:20.800</x:v>
      </x:c>
      <x:c r="H68" s="36" t="n">
        <x:v>2391.523</x:v>
      </x:c>
      <x:c r="I68" s="36" t="n">
        <x:f>H68/1000</x:f>
        <x:v>2.3915230000000003</x:v>
      </x:c>
      <x:c r="J68" s="21" t="str">
        <x:v>dsv_modify_0814/dsv4_3_aico.jsonl</x:v>
      </x:c>
      <x:c r="K68" s="21" t="n">
        <x:v>29</x:v>
      </x:c>
      <x:c r="L68" s="21" t="str">
        <x:v>original精确文本</x:v>
      </x:c>
    </x:row>
    <x:row r="69">
      <x:c r="A69" s="38" t="n">
        <x:v>10</x:v>
      </x:c>
      <x:c r="B69" s="23" t="str">
        <x:v>确认一下CBN-福州晋安-东浦新村4号楼C-HRHH-512、CBN-福州晋安-东浦新村4号楼C-HRHH-514和深圳大梅沙D-HRH-3这三个小区的站点名称、小区标识和电子下倾角。</x:v>
      </x:c>
      <x:c r="C69" s="23" t="str">
        <x:v>查询CBN-福州晋安-东浦新村4号楼C-HRHH-512、CBN-福州晋安-东浦新村4号楼C-HRHH-514和深圳大梅沙D-HRH-3这三个小区的站点名称、小区标识和电子下倾角</x:v>
      </x:c>
      <x:c r="D69" s="23" t="str">
        <x:v>问题推荐</x:v>
      </x:c>
      <x:c r="E69" s="23" t="str">
        <x:v>后续问题推荐</x:v>
      </x:c>
      <x:c r="F69" s="21" t="n">
        <x:v>1</x:v>
      </x:c>
      <x:c r="G69" s="21" t="str">
        <x:v>2026-08-14T07:29:23.493</x:v>
      </x:c>
      <x:c r="H69" s="36" t="n">
        <x:v>3066.58</x:v>
      </x:c>
      <x:c r="I69" s="36" t="n">
        <x:f>H69/1000</x:f>
        <x:v>3.06658</x:v>
      </x:c>
      <x:c r="J69" s="21" t="str">
        <x:v>dsv_modify_0814/dsv4_3_recipe_ds.jsonl</x:v>
      </x:c>
      <x:c r="K69" s="21" t="n">
        <x:v>19</x:v>
      </x:c>
      <x:c r="L69" s="21" t="str">
        <x:v>original精确文本</x:v>
      </x:c>
    </x:row>
    <x:row r="70">
      <x:c r="A70" s="38" t="n">
        <x:v>11</x:v>
      </x:c>
      <x:c r="B70" s="23" t="str">
        <x:v>帮我查一下CBN-深圳大梅沙U-H5H站点下5G小区的小区名称、基站标识和方位角。</x:v>
      </x:c>
      <x:c r="C70" s="23" t="str">
        <x:v>查询CBN-深圳大梅沙U-H5H站点下5G小区的小区名称、基站标识和方位角</x:v>
      </x:c>
      <x:c r="D70" s="23" t="str">
        <x:v>AICO Tool Call - Skill</x:v>
      </x:c>
      <x:c r="E70" s="23" t="str">
        <x:v>Skill</x:v>
      </x:c>
      <x:c r="F70" s="21" t="n">
        <x:v>1</x:v>
      </x:c>
      <x:c r="G70" s="21" t="str">
        <x:v>2026-08-14T07:29:24.363</x:v>
      </x:c>
      <x:c r="H70" s="36" t="n">
        <x:v>2489.841</x:v>
      </x:c>
      <x:c r="I70" s="36" t="n">
        <x:f>H70/1000</x:f>
        <x:v>2.4898409999999997</x:v>
      </x:c>
      <x:c r="J70" s="21" t="str">
        <x:v>dsv_modify_0814/dsv4_3_aico.jsonl</x:v>
      </x:c>
      <x:c r="K70" s="21" t="n">
        <x:v>30</x:v>
      </x:c>
      <x:c r="L70" s="21" t="str">
        <x:v>original精确文本</x:v>
      </x:c>
    </x:row>
    <x:row r="71">
      <x:c r="A71" s="38" t="n">
        <x:v>11</x:v>
      </x:c>
      <x:c r="B71" s="23" t="str">
        <x:v>帮我查一下CBN-深圳大梅沙U-H5H站点下5G小区的小区名称、基站标识和方位角。</x:v>
      </x:c>
      <x:c r="C71" s="23" t="str">
        <x:v>查询CBN-深圳大梅沙U-H5H站点下5G小区的小区名称、基站标识和方位角</x:v>
      </x:c>
      <x:c r="D71" s="23" t="str">
        <x:v>AICO Tool Call - Workflow</x:v>
      </x:c>
      <x:c r="E71" s="23" t="str">
        <x:v>Workflow</x:v>
      </x:c>
      <x:c r="F71" s="21" t="n">
        <x:v>1</x:v>
      </x:c>
      <x:c r="G71" s="21" t="str">
        <x:v>2026-08-14T07:29:26.999</x:v>
      </x:c>
      <x:c r="H71" s="36" t="n">
        <x:v>2955.598</x:v>
      </x:c>
      <x:c r="I71" s="36" t="n">
        <x:f>H71/1000</x:f>
        <x:v>2.955598</x:v>
      </x:c>
      <x:c r="J71" s="21" t="str">
        <x:v>dsv_modify_0814/dsv4_3_aico.jsonl</x:v>
      </x:c>
      <x:c r="K71" s="21" t="n">
        <x:v>31</x:v>
      </x:c>
      <x:c r="L71" s="21" t="str">
        <x:v>original精确文本</x:v>
      </x:c>
    </x:row>
    <x:row r="72">
      <x:c r="A72" s="38" t="n">
        <x:v>11</x:v>
      </x:c>
      <x:c r="B72" s="23" t="str">
        <x:v>帮我查一下CBN-深圳大梅沙U-H5H站点下5G小区的小区名称、基站标识和方位角。</x:v>
      </x:c>
      <x:c r="C72" s="23" t="str">
        <x:v>查询CBN-深圳大梅沙U-H5H站点下5G小区的小区名称、基站标识和方位角</x:v>
      </x:c>
      <x:c r="D72" s="23" t="str">
        <x:v>Recipe - DeepSeek</x:v>
      </x:c>
      <x:c r="E72" s="23" t="str">
        <x:v>DeepSeek recipe调用</x:v>
      </x:c>
      <x:c r="F72" s="21" t="n">
        <x:v>1</x:v>
      </x:c>
      <x:c r="G72" s="21" t="str">
        <x:v>2026-08-14T07:29:31.335</x:v>
      </x:c>
      <x:c r="H72" s="36" t="n">
        <x:v>1882.059</x:v>
      </x:c>
      <x:c r="I72" s="36" t="n">
        <x:f>H72/1000</x:f>
        <x:v>1.882059</x:v>
      </x:c>
      <x:c r="J72" s="21" t="str">
        <x:v>dsv_modify_0814/dsv4_3_recipe_ds.jsonl</x:v>
      </x:c>
      <x:c r="K72" s="21" t="n">
        <x:v>20</x:v>
      </x:c>
      <x:c r="L72" s="21" t="str">
        <x:v>processed精确文本</x:v>
      </x:c>
    </x:row>
    <x:row r="73">
      <x:c r="A73" s="38" t="n">
        <x:v>11</x:v>
      </x:c>
      <x:c r="B73" s="23" t="str">
        <x:v>帮我查一下CBN-深圳大梅沙U-H5H站点下5G小区的小区名称、基站标识和方位角。</x:v>
      </x:c>
      <x:c r="C73" s="23" t="str">
        <x:v>查询CBN-深圳大梅沙U-H5H站点下5G小区的小区名称、基站标识和方位角</x:v>
      </x:c>
      <x:c r="D73" s="23" t="str">
        <x:v>Recipe - Qwen执行</x:v>
      </x:c>
      <x:c r="E73" s="23" t="str">
        <x:v>同一问题第1次Qwen调用</x:v>
      </x:c>
      <x:c r="F73" s="21" t="n">
        <x:v>1</x:v>
      </x:c>
      <x:c r="G73" s="21" t="str">
        <x:v>2026-08-14T07:29:33.555</x:v>
      </x:c>
      <x:c r="H73" s="36" t="n">
        <x:v>2186.711</x:v>
      </x:c>
      <x:c r="I73" s="36" t="n">
        <x:f>H73/1000</x:f>
        <x:v>2.186711</x:v>
      </x:c>
      <x:c r="J73" s="21" t="str">
        <x:v>dsv_modify_0814/qwen_3.jsonl</x:v>
      </x:c>
      <x:c r="K73" s="21" t="n">
        <x:v>21</x:v>
      </x:c>
      <x:c r="L73" s="21" t="str">
        <x:v>processed精确文本</x:v>
      </x:c>
    </x:row>
    <x:row r="74">
      <x:c r="A74" s="38" t="n">
        <x:v>11</x:v>
      </x:c>
      <x:c r="B74" s="23" t="str">
        <x:v>帮我查一下CBN-深圳大梅沙U-H5H站点下5G小区的小区名称、基站标识和方位角。</x:v>
      </x:c>
      <x:c r="C74" s="23" t="str">
        <x:v>查询CBN-深圳大梅沙U-H5H站点下5G小区的小区名称、基站标识和方位角</x:v>
      </x:c>
      <x:c r="D74" s="23" t="str">
        <x:v>Recipe - Qwen总结</x:v>
      </x:c>
      <x:c r="E74" s="23" t="str">
        <x:v>同一问题最后一次Qwen调用</x:v>
      </x:c>
      <x:c r="F74" s="21" t="n">
        <x:v>1</x:v>
      </x:c>
      <x:c r="G74" s="21" t="str">
        <x:v>2026-08-14T07:29:36.235</x:v>
      </x:c>
      <x:c r="H74" s="36" t="n">
        <x:v>2243.93</x:v>
      </x:c>
      <x:c r="I74" s="36" t="n">
        <x:f>H74/1000</x:f>
        <x:v>2.2439299999999998</x:v>
      </x:c>
      <x:c r="J74" s="21" t="str">
        <x:v>dsv_modify_0814/qwen_3.jsonl</x:v>
      </x:c>
      <x:c r="K74" s="21" t="n">
        <x:v>22</x:v>
      </x:c>
      <x:c r="L74" s="21" t="str">
        <x:v>processed精确文本</x:v>
      </x:c>
    </x:row>
    <x:row r="75">
      <x:c r="A75" s="38" t="n">
        <x:v>11</x:v>
      </x:c>
      <x:c r="B75" s="23" t="str">
        <x:v>帮我查一下CBN-深圳大梅沙U-H5H站点下5G小区的小区名称、基站标识和方位角。</x:v>
      </x:c>
      <x:c r="C75" s="23" t="str">
        <x:v>查询CBN-深圳大梅沙U-H5H站点下5G小区的小区名称、基站标识和方位角</x:v>
      </x:c>
      <x:c r="D75" s="23" t="str">
        <x:v>AICO总结</x:v>
      </x:c>
      <x:c r="E75" s="23" t="str">
        <x:v>无tool_calls</x:v>
      </x:c>
      <x:c r="F75" s="21" t="n">
        <x:v>1</x:v>
      </x:c>
      <x:c r="G75" s="21" t="str">
        <x:v>2026-08-14T07:29:38.733</x:v>
      </x:c>
      <x:c r="H75" s="36" t="n">
        <x:v>3317</x:v>
      </x:c>
      <x:c r="I75" s="36" t="n">
        <x:f>H75/1000</x:f>
        <x:v>3.317</x:v>
      </x:c>
      <x:c r="J75" s="21" t="str">
        <x:v>dsv_modify_0814/dsv4_3_aico.jsonl</x:v>
      </x:c>
      <x:c r="K75" s="21" t="n">
        <x:v>32</x:v>
      </x:c>
      <x:c r="L75" s="21" t="str">
        <x:v>original精确文本</x:v>
      </x:c>
    </x:row>
    <x:row r="76">
      <x:c r="A76" s="38" t="n">
        <x:v>11</x:v>
      </x:c>
      <x:c r="B76" s="23" t="str">
        <x:v>帮我查一下CBN-深圳大梅沙U-H5H站点下5G小区的小区名称、基站标识和方位角。</x:v>
      </x:c>
      <x:c r="C76" s="23" t="str">
        <x:v>查询CBN-深圳大梅沙U-H5H站点下5G小区的小区名称、基站标识和方位角</x:v>
      </x:c>
      <x:c r="D76" s="23" t="str">
        <x:v>问题推荐</x:v>
      </x:c>
      <x:c r="E76" s="23" t="str">
        <x:v>后续问题推荐</x:v>
      </x:c>
      <x:c r="F76" s="21" t="n">
        <x:v>1</x:v>
      </x:c>
      <x:c r="G76" s="21" t="str">
        <x:v>2026-08-14T07:29:42.353</x:v>
      </x:c>
      <x:c r="H76" s="36" t="n">
        <x:v>3297.53</x:v>
      </x:c>
      <x:c r="I76" s="36" t="n">
        <x:f>H76/1000</x:f>
        <x:v>3.29753</x:v>
      </x:c>
      <x:c r="J76" s="21" t="str">
        <x:v>dsv_modify_0814/dsv4_3_recipe_ds.jsonl</x:v>
      </x:c>
      <x:c r="K76" s="21" t="n">
        <x:v>21</x:v>
      </x:c>
      <x:c r="L76" s="21" t="str">
        <x:v>original精确文本</x:v>
      </x:c>
    </x:row>
    <x:row r="77">
      <x:c r="A77" s="38" t="n">
        <x:v>12</x:v>
      </x:c>
      <x:c r="B77" s="23" t="str">
        <x:v>看一下深圳大梅沙二[深圳大梅沙二D-HRH]C-HRH-3这个NR小区的机械下倾角、电子下倾角和天线高度。</x:v>
      </x:c>
      <x:c r="C77" s="23" t="str">
        <x:v>查询深圳大梅沙二[深圳大梅沙二D-HRH]C-HRH-3这个NR小区的机械下倾角、电子下倾角和天线高度</x:v>
      </x:c>
      <x:c r="D77" s="23" t="str">
        <x:v>AICO Tool Call - Skill</x:v>
      </x:c>
      <x:c r="E77" s="23" t="str">
        <x:v>Skill</x:v>
      </x:c>
      <x:c r="F77" s="21" t="n">
        <x:v>1</x:v>
      </x:c>
      <x:c r="G77" s="21" t="str">
        <x:v>2026-08-14T07:29:43.243</x:v>
      </x:c>
      <x:c r="H77" s="36" t="n">
        <x:v>3288.702</x:v>
      </x:c>
      <x:c r="I77" s="36" t="n">
        <x:f>H77/1000</x:f>
        <x:v>3.2887020000000002</x:v>
      </x:c>
      <x:c r="J77" s="21" t="str">
        <x:v>dsv_modify_0814/dsv4_3_aico.jsonl</x:v>
      </x:c>
      <x:c r="K77" s="21" t="n">
        <x:v>33</x:v>
      </x:c>
      <x:c r="L77" s="21" t="str">
        <x:v>original精确文本</x:v>
      </x:c>
    </x:row>
    <x:row r="78">
      <x:c r="A78" s="38" t="n">
        <x:v>12</x:v>
      </x:c>
      <x:c r="B78" s="23" t="str">
        <x:v>看一下深圳大梅沙二[深圳大梅沙二D-HRH]C-HRH-3这个NR小区的机械下倾角、电子下倾角和天线高度。</x:v>
      </x:c>
      <x:c r="C78" s="23" t="str">
        <x:v>查询深圳大梅沙二[深圳大梅沙二D-HRH]C-HRH-3这个NR小区的机械下倾角、电子下倾角和天线高度</x:v>
      </x:c>
      <x:c r="D78" s="23" t="str">
        <x:v>AICO Tool Call - Workflow</x:v>
      </x:c>
      <x:c r="E78" s="23" t="str">
        <x:v>Workflow</x:v>
      </x:c>
      <x:c r="F78" s="21" t="n">
        <x:v>1</x:v>
      </x:c>
      <x:c r="G78" s="21" t="str">
        <x:v>2026-08-14T07:29:46.698</x:v>
      </x:c>
      <x:c r="H78" s="36" t="n">
        <x:v>3173.87</x:v>
      </x:c>
      <x:c r="I78" s="36" t="n">
        <x:f>H78/1000</x:f>
        <x:v>3.17387</x:v>
      </x:c>
      <x:c r="J78" s="21" t="str">
        <x:v>dsv_modify_0814/dsv4_3_aico.jsonl</x:v>
      </x:c>
      <x:c r="K78" s="21" t="n">
        <x:v>34</x:v>
      </x:c>
      <x:c r="L78" s="21" t="str">
        <x:v>original精确文本</x:v>
      </x:c>
    </x:row>
    <x:row r="79">
      <x:c r="A79" s="38" t="n">
        <x:v>12</x:v>
      </x:c>
      <x:c r="B79" s="23" t="str">
        <x:v>看一下深圳大梅沙二[深圳大梅沙二D-HRH]C-HRH-3这个NR小区的机械下倾角、电子下倾角和天线高度。</x:v>
      </x:c>
      <x:c r="C79" s="23" t="str">
        <x:v>查询深圳大梅沙二[深圳大梅沙二D-HRH]C-HRH-3这个NR小区的机械下倾角、电子下倾角和天线高度</x:v>
      </x:c>
      <x:c r="D79" s="23" t="str">
        <x:v>Recipe - DeepSeek</x:v>
      </x:c>
      <x:c r="E79" s="23" t="str">
        <x:v>DeepSeek recipe调用</x:v>
      </x:c>
      <x:c r="F79" s="21" t="n">
        <x:v>1</x:v>
      </x:c>
      <x:c r="G79" s="21" t="str">
        <x:v>2026-08-14T07:29:51.226</x:v>
      </x:c>
      <x:c r="H79" s="36" t="n">
        <x:v>1929.811</x:v>
      </x:c>
      <x:c r="I79" s="36" t="n">
        <x:f>H79/1000</x:f>
        <x:v>1.929811</x:v>
      </x:c>
      <x:c r="J79" s="21" t="str">
        <x:v>dsv_modify_0814/dsv4_3_recipe_ds.jsonl</x:v>
      </x:c>
      <x:c r="K79" s="21" t="n">
        <x:v>22</x:v>
      </x:c>
      <x:c r="L79" s="21" t="str">
        <x:v>processed精确文本</x:v>
      </x:c>
    </x:row>
    <x:row r="80">
      <x:c r="A80" s="38" t="n">
        <x:v>12</x:v>
      </x:c>
      <x:c r="B80" s="23" t="str">
        <x:v>看一下深圳大梅沙二[深圳大梅沙二D-HRH]C-HRH-3这个NR小区的机械下倾角、电子下倾角和天线高度。</x:v>
      </x:c>
      <x:c r="C80" s="23" t="str">
        <x:v>查询深圳大梅沙二[深圳大梅沙二D-HRH]C-HRH-3这个NR小区的机械下倾角、电子下倾角和天线高度</x:v>
      </x:c>
      <x:c r="D80" s="23" t="str">
        <x:v>Recipe - Qwen执行</x:v>
      </x:c>
      <x:c r="E80" s="23" t="str">
        <x:v>同一问题第1次Qwen调用</x:v>
      </x:c>
      <x:c r="F80" s="21" t="n">
        <x:v>1</x:v>
      </x:c>
      <x:c r="G80" s="21" t="str">
        <x:v>2026-08-14T07:29:53.509</x:v>
      </x:c>
      <x:c r="H80" s="36" t="n">
        <x:v>1938.353</x:v>
      </x:c>
      <x:c r="I80" s="36" t="n">
        <x:f>H80/1000</x:f>
        <x:v>1.938353</x:v>
      </x:c>
      <x:c r="J80" s="21" t="str">
        <x:v>dsv_modify_0814/qwen_3.jsonl</x:v>
      </x:c>
      <x:c r="K80" s="21" t="n">
        <x:v>23</x:v>
      </x:c>
      <x:c r="L80" s="21" t="str">
        <x:v>processed精确文本</x:v>
      </x:c>
    </x:row>
    <x:row r="81">
      <x:c r="A81" s="38" t="n">
        <x:v>12</x:v>
      </x:c>
      <x:c r="B81" s="23" t="str">
        <x:v>看一下深圳大梅沙二[深圳大梅沙二D-HRH]C-HRH-3这个NR小区的机械下倾角、电子下倾角和天线高度。</x:v>
      </x:c>
      <x:c r="C81" s="23" t="str">
        <x:v>查询深圳大梅沙二[深圳大梅沙二D-HRH]C-HRH-3这个NR小区的机械下倾角、电子下倾角和天线高度</x:v>
      </x:c>
      <x:c r="D81" s="23" t="str">
        <x:v>Recipe - Qwen总结</x:v>
      </x:c>
      <x:c r="E81" s="23" t="str">
        <x:v>同一问题最后一次Qwen调用</x:v>
      </x:c>
      <x:c r="F81" s="21" t="n">
        <x:v>1</x:v>
      </x:c>
      <x:c r="G81" s="21" t="str">
        <x:v>2026-08-14T07:29:55.954</x:v>
      </x:c>
      <x:c r="H81" s="36" t="n">
        <x:v>1660.969</x:v>
      </x:c>
      <x:c r="I81" s="36" t="n">
        <x:f>H81/1000</x:f>
        <x:v>1.6609690000000001</x:v>
      </x:c>
      <x:c r="J81" s="21" t="str">
        <x:v>dsv_modify_0814/qwen_3.jsonl</x:v>
      </x:c>
      <x:c r="K81" s="21" t="n">
        <x:v>24</x:v>
      </x:c>
      <x:c r="L81" s="21" t="str">
        <x:v>processed精确文本</x:v>
      </x:c>
    </x:row>
    <x:row r="82">
      <x:c r="A82" s="38" t="n">
        <x:v>12</x:v>
      </x:c>
      <x:c r="B82" s="23" t="str">
        <x:v>看一下深圳大梅沙二[深圳大梅沙二D-HRH]C-HRH-3这个NR小区的机械下倾角、电子下倾角和天线高度。</x:v>
      </x:c>
      <x:c r="C82" s="23" t="str">
        <x:v>查询深圳大梅沙二[深圳大梅沙二D-HRH]C-HRH-3这个NR小区的机械下倾角、电子下倾角和天线高度</x:v>
      </x:c>
      <x:c r="D82" s="23" t="str">
        <x:v>AICO总结</x:v>
      </x:c>
      <x:c r="E82" s="23" t="str">
        <x:v>无tool_calls</x:v>
      </x:c>
      <x:c r="F82" s="21" t="n">
        <x:v>1</x:v>
      </x:c>
      <x:c r="G82" s="21" t="str">
        <x:v>2026-08-14T07:29:57.867</x:v>
      </x:c>
      <x:c r="H82" s="36" t="n">
        <x:v>2540.199</x:v>
      </x:c>
      <x:c r="I82" s="36" t="n">
        <x:f>H82/1000</x:f>
        <x:v>2.540199</x:v>
      </x:c>
      <x:c r="J82" s="21" t="str">
        <x:v>dsv_modify_0814/dsv4_3_aico.jsonl</x:v>
      </x:c>
      <x:c r="K82" s="21" t="n">
        <x:v>35</x:v>
      </x:c>
      <x:c r="L82" s="21" t="str">
        <x:v>original精确文本</x:v>
      </x:c>
    </x:row>
    <x:row r="83">
      <x:c r="A83" s="38" t="n">
        <x:v>12</x:v>
      </x:c>
      <x:c r="B83" s="23" t="str">
        <x:v>看一下深圳大梅沙二[深圳大梅沙二D-HRH]C-HRH-3这个NR小区的机械下倾角、电子下倾角和天线高度。</x:v>
      </x:c>
      <x:c r="C83" s="23" t="str">
        <x:v>查询深圳大梅沙二[深圳大梅沙二D-HRH]C-HRH-3这个NR小区的机械下倾角、电子下倾角和天线高度</x:v>
      </x:c>
      <x:c r="D83" s="23" t="str">
        <x:v>问题推荐</x:v>
      </x:c>
      <x:c r="E83" s="23" t="str">
        <x:v>后续问题推荐</x:v>
      </x:c>
      <x:c r="F83" s="21" t="n">
        <x:v>1</x:v>
      </x:c>
      <x:c r="G83" s="21" t="str">
        <x:v>2026-08-14T07:30:00.694</x:v>
      </x:c>
      <x:c r="H83" s="36" t="n">
        <x:v>2842.716</x:v>
      </x:c>
      <x:c r="I83" s="36" t="n">
        <x:f>H83/1000</x:f>
        <x:v>2.842716</x:v>
      </x:c>
      <x:c r="J83" s="21" t="str">
        <x:v>dsv_modify_0814/dsv4_3_recipe_ds.jsonl</x:v>
      </x:c>
      <x:c r="K83" s="21" t="n">
        <x:v>23</x:v>
      </x:c>
      <x:c r="L83" s="21" t="str">
        <x:v>original精确文本</x:v>
      </x:c>
    </x:row>
    <x:row r="84">
      <x:c r="A84" s="38" t="n">
        <x:v>13</x:v>
      </x:c>
      <x:c r="B84" s="23" t="str">
        <x:v>查询CBN-福州晋安-站东路三环北路交叉西C-HRRH和深圳东海岸三D-HRH这两个站点下5G小区的纬度、经度和设备厂商。</x:v>
      </x:c>
      <x:c r="C84" s="23" t="str">
        <x:v>查询CBN-福州晋安-站东路三环北路交叉西C-HRRH和深圳东海岸三D-HRH这两个站点下5G小区的纬度、经度和设备厂商</x:v>
      </x:c>
      <x:c r="D84" s="23" t="str">
        <x:v>AICO Tool Call - Skill</x:v>
      </x:c>
      <x:c r="E84" s="23" t="str">
        <x:v>Skill</x:v>
      </x:c>
      <x:c r="F84" s="21" t="n">
        <x:v>1</x:v>
      </x:c>
      <x:c r="G84" s="21" t="str">
        <x:v>2026-08-14T07:30:01.590</x:v>
      </x:c>
      <x:c r="H84" s="36" t="n">
        <x:v>3949.006</x:v>
      </x:c>
      <x:c r="I84" s="36" t="n">
        <x:f>H84/1000</x:f>
        <x:v>3.949006</x:v>
      </x:c>
      <x:c r="J84" s="21" t="str">
        <x:v>dsv_modify_0814/dsv4_3_aico.jsonl</x:v>
      </x:c>
      <x:c r="K84" s="21" t="n">
        <x:v>36</x:v>
      </x:c>
      <x:c r="L84" s="21" t="str">
        <x:v>original精确文本</x:v>
      </x:c>
    </x:row>
    <x:row r="85">
      <x:c r="A85" s="38" t="n">
        <x:v>13</x:v>
      </x:c>
      <x:c r="B85" s="23" t="str">
        <x:v>查询CBN-福州晋安-站东路三环北路交叉西C-HRRH和深圳东海岸三D-HRH这两个站点下5G小区的纬度、经度和设备厂商。</x:v>
      </x:c>
      <x:c r="C85" s="23" t="str">
        <x:v>查询CBN-福州晋安-站东路三环北路交叉西C-HRRH和深圳东海岸三D-HRH这两个站点下5G小区的纬度、经度和设备厂商</x:v>
      </x:c>
      <x:c r="D85" s="23" t="str">
        <x:v>AICO Tool Call - Workflow</x:v>
      </x:c>
      <x:c r="E85" s="23" t="str">
        <x:v>Workflow</x:v>
      </x:c>
      <x:c r="F85" s="21" t="n">
        <x:v>1</x:v>
      </x:c>
      <x:c r="G85" s="21" t="str">
        <x:v>2026-08-14T07:30:05.708</x:v>
      </x:c>
      <x:c r="H85" s="36" t="n">
        <x:v>3589.17</x:v>
      </x:c>
      <x:c r="I85" s="36" t="n">
        <x:f>H85/1000</x:f>
        <x:v>3.58917</x:v>
      </x:c>
      <x:c r="J85" s="21" t="str">
        <x:v>dsv_modify_0814/dsv4_3_aico.jsonl</x:v>
      </x:c>
      <x:c r="K85" s="21" t="n">
        <x:v>37</x:v>
      </x:c>
      <x:c r="L85" s="21" t="str">
        <x:v>original精确文本</x:v>
      </x:c>
    </x:row>
    <x:row r="86">
      <x:c r="A86" s="38" t="n">
        <x:v>13</x:v>
      </x:c>
      <x:c r="B86" s="23" t="str">
        <x:v>查询CBN-福州晋安-站东路三环北路交叉西C-HRRH和深圳东海岸三D-HRH这两个站点下5G小区的纬度、经度和设备厂商。</x:v>
      </x:c>
      <x:c r="C86" s="23" t="str">
        <x:v>查询CBN-福州晋安-站东路三环北路交叉西C-HRRH和深圳东海岸三D-HRH这两个站点下5G小区的纬度、经度和设备厂商</x:v>
      </x:c>
      <x:c r="D86" s="23" t="str">
        <x:v>Recipe - DeepSeek</x:v>
      </x:c>
      <x:c r="E86" s="23" t="str">
        <x:v>DeepSeek recipe调用</x:v>
      </x:c>
      <x:c r="F86" s="21" t="n">
        <x:v>1</x:v>
      </x:c>
      <x:c r="G86" s="21" t="str">
        <x:v>2026-08-14T07:30:10.785</x:v>
      </x:c>
      <x:c r="H86" s="36" t="n">
        <x:v>1916.965</x:v>
      </x:c>
      <x:c r="I86" s="36" t="n">
        <x:f>H86/1000</x:f>
        <x:v>1.9169649999999998</x:v>
      </x:c>
      <x:c r="J86" s="21" t="str">
        <x:v>dsv_modify_0814/dsv4_3_recipe_ds.jsonl</x:v>
      </x:c>
      <x:c r="K86" s="21" t="n">
        <x:v>24</x:v>
      </x:c>
      <x:c r="L86" s="21" t="str">
        <x:v>processed精确文本</x:v>
      </x:c>
    </x:row>
    <x:row r="87">
      <x:c r="A87" s="38" t="n">
        <x:v>13</x:v>
      </x:c>
      <x:c r="B87" s="23" t="str">
        <x:v>查询CBN-福州晋安-站东路三环北路交叉西C-HRRH和深圳东海岸三D-HRH这两个站点下5G小区的纬度、经度和设备厂商。</x:v>
      </x:c>
      <x:c r="C87" s="23" t="str">
        <x:v>查询CBN-福州晋安-站东路三环北路交叉西C-HRRH和深圳东海岸三D-HRH这两个站点下5G小区的纬度、经度和设备厂商</x:v>
      </x:c>
      <x:c r="D87" s="23" t="str">
        <x:v>Recipe - Qwen执行</x:v>
      </x:c>
      <x:c r="E87" s="23" t="str">
        <x:v>同一问题第1次Qwen调用</x:v>
      </x:c>
      <x:c r="F87" s="21" t="n">
        <x:v>1</x:v>
      </x:c>
      <x:c r="G87" s="21" t="str">
        <x:v>2026-08-14T07:30:13.063</x:v>
      </x:c>
      <x:c r="H87" s="36" t="n">
        <x:v>1770.014</x:v>
      </x:c>
      <x:c r="I87" s="36" t="n">
        <x:f>H87/1000</x:f>
        <x:v>1.770014</x:v>
      </x:c>
      <x:c r="J87" s="21" t="str">
        <x:v>dsv_modify_0814/qwen_3.jsonl</x:v>
      </x:c>
      <x:c r="K87" s="21" t="n">
        <x:v>25</x:v>
      </x:c>
      <x:c r="L87" s="21" t="str">
        <x:v>processed精确文本</x:v>
      </x:c>
    </x:row>
    <x:row r="88">
      <x:c r="A88" s="38" t="n">
        <x:v>13</x:v>
      </x:c>
      <x:c r="B88" s="23" t="str">
        <x:v>查询CBN-福州晋安-站东路三环北路交叉西C-HRRH和深圳东海岸三D-HRH这两个站点下5G小区的纬度、经度和设备厂商。</x:v>
      </x:c>
      <x:c r="C88" s="23" t="str">
        <x:v>查询CBN-福州晋安-站东路三环北路交叉西C-HRRH和深圳东海岸三D-HRH这两个站点下5G小区的纬度、经度和设备厂商</x:v>
      </x:c>
      <x:c r="D88" s="23" t="str">
        <x:v>Recipe - Qwen执行</x:v>
      </x:c>
      <x:c r="E88" s="23" t="str">
        <x:v>同一问题第2次Qwen调用</x:v>
      </x:c>
      <x:c r="F88" s="21" t="n">
        <x:v>2</x:v>
      </x:c>
      <x:c r="G88" s="21" t="str">
        <x:v>2026-08-14T07:30:15.332</x:v>
      </x:c>
      <x:c r="H88" s="36" t="n">
        <x:v>2526.903</x:v>
      </x:c>
      <x:c r="I88" s="36" t="n">
        <x:f>H88/1000</x:f>
        <x:v>2.526903</x:v>
      </x:c>
      <x:c r="J88" s="21" t="str">
        <x:v>dsv_modify_0814/qwen_3.jsonl</x:v>
      </x:c>
      <x:c r="K88" s="21" t="n">
        <x:v>26</x:v>
      </x:c>
      <x:c r="L88" s="21" t="str">
        <x:v>processed精确文本</x:v>
      </x:c>
    </x:row>
    <x:row r="89">
      <x:c r="A89" s="38" t="n">
        <x:v>13</x:v>
      </x:c>
      <x:c r="B89" s="23" t="str">
        <x:v>查询CBN-福州晋安-站东路三环北路交叉西C-HRRH和深圳东海岸三D-HRH这两个站点下5G小区的纬度、经度和设备厂商。</x:v>
      </x:c>
      <x:c r="C89" s="23" t="str">
        <x:v>查询CBN-福州晋安-站东路三环北路交叉西C-HRRH和深圳东海岸三D-HRH这两个站点下5G小区的纬度、经度和设备厂商</x:v>
      </x:c>
      <x:c r="D89" s="23" t="str">
        <x:v>Recipe - Qwen总结</x:v>
      </x:c>
      <x:c r="E89" s="23" t="str">
        <x:v>同一问题最后一次Qwen调用</x:v>
      </x:c>
      <x:c r="F89" s="21" t="n">
        <x:v>1</x:v>
      </x:c>
      <x:c r="G89" s="21" t="str">
        <x:v>2026-08-14T07:30:18.458</x:v>
      </x:c>
      <x:c r="H89" s="36" t="n">
        <x:v>3253.805</x:v>
      </x:c>
      <x:c r="I89" s="36" t="n">
        <x:f>H89/1000</x:f>
        <x:v>3.253805</x:v>
      </x:c>
      <x:c r="J89" s="21" t="str">
        <x:v>dsv_modify_0814/qwen_3.jsonl</x:v>
      </x:c>
      <x:c r="K89" s="21" t="n">
        <x:v>27</x:v>
      </x:c>
      <x:c r="L89" s="21" t="str">
        <x:v>processed精确文本</x:v>
      </x:c>
    </x:row>
    <x:row r="90">
      <x:c r="A90" s="38" t="n">
        <x:v>13</x:v>
      </x:c>
      <x:c r="B90" s="23" t="str">
        <x:v>查询CBN-福州晋安-站东路三环北路交叉西C-HRRH和深圳东海岸三D-HRH这两个站点下5G小区的纬度、经度和设备厂商。</x:v>
      </x:c>
      <x:c r="C90" s="23" t="str">
        <x:v>查询CBN-福州晋安-站东路三环北路交叉西C-HRRH和深圳东海岸三D-HRH这两个站点下5G小区的纬度、经度和设备厂商</x:v>
      </x:c>
      <x:c r="D90" s="23" t="str">
        <x:v>AICO总结</x:v>
      </x:c>
      <x:c r="E90" s="23" t="str">
        <x:v>无tool_calls</x:v>
      </x:c>
      <x:c r="F90" s="21" t="n">
        <x:v>1</x:v>
      </x:c>
      <x:c r="G90" s="21" t="str">
        <x:v>2026-08-14T07:30:21.971</x:v>
      </x:c>
      <x:c r="H90" s="36" t="n">
        <x:v>3553.407</x:v>
      </x:c>
      <x:c r="I90" s="36" t="n">
        <x:f>H90/1000</x:f>
        <x:v>3.553407</x:v>
      </x:c>
      <x:c r="J90" s="21" t="str">
        <x:v>dsv_modify_0814/dsv4_3_aico.jsonl</x:v>
      </x:c>
      <x:c r="K90" s="21" t="n">
        <x:v>38</x:v>
      </x:c>
      <x:c r="L90" s="21" t="str">
        <x:v>original精确文本</x:v>
      </x:c>
    </x:row>
    <x:row r="91">
      <x:c r="A91" s="38" t="n">
        <x:v>13</x:v>
      </x:c>
      <x:c r="B91" s="23" t="str">
        <x:v>查询CBN-福州晋安-站东路三环北路交叉西C-HRRH和深圳东海岸三D-HRH这两个站点下5G小区的纬度、经度和设备厂商。</x:v>
      </x:c>
      <x:c r="C91" s="23" t="str">
        <x:v>查询CBN-福州晋安-站东路三环北路交叉西C-HRRH和深圳东海岸三D-HRH这两个站点下5G小区的纬度、经度和设备厂商</x:v>
      </x:c>
      <x:c r="D91" s="23" t="str">
        <x:v>问题推荐</x:v>
      </x:c>
      <x:c r="E91" s="23" t="str">
        <x:v>后续问题推荐</x:v>
      </x:c>
      <x:c r="F91" s="21" t="n">
        <x:v>1</x:v>
      </x:c>
      <x:c r="G91" s="21" t="str">
        <x:v>2026-08-14T07:30:25.792</x:v>
      </x:c>
      <x:c r="H91" s="36" t="n">
        <x:v>4146.582</x:v>
      </x:c>
      <x:c r="I91" s="36" t="n">
        <x:f>H91/1000</x:f>
        <x:v>4.146582</x:v>
      </x:c>
      <x:c r="J91" s="21" t="str">
        <x:v>dsv_modify_0814/dsv4_3_recipe_ds.jsonl</x:v>
      </x:c>
      <x:c r="K91" s="21" t="n">
        <x:v>25</x:v>
      </x:c>
      <x:c r="L91" s="21" t="str">
        <x:v>original精确文本</x:v>
      </x:c>
    </x:row>
    <x:row r="92">
      <x:c r="A92" s="38" t="n">
        <x:v>14</x:v>
      </x:c>
      <x:c r="B92" s="23" t="str">
        <x:v>找出CBN-福州仓山-福州火车南站C-HRHH-521和CBN-福州晋安-东浦新村4号楼C-HRHH-513这两个NR小区的方向角、移动国家码和站点名称。</x:v>
      </x:c>
      <x:c r="C92" s="23" t="str">
        <x:v>找出CBN-福州仓山-福州火车南站C-HRHH-521和CBN-福州晋安-东浦新村4号楼C-HRHH-513这两个NR小区的方向角、移动国家码和站点名称</x:v>
      </x:c>
      <x:c r="D92" s="23" t="str">
        <x:v>AICO Tool Call - Skill</x:v>
      </x:c>
      <x:c r="E92" s="23" t="str">
        <x:v>Skill</x:v>
      </x:c>
      <x:c r="F92" s="21" t="n">
        <x:v>1</x:v>
      </x:c>
      <x:c r="G92" s="21" t="str">
        <x:v>2026-08-14T07:30:26.701</x:v>
      </x:c>
      <x:c r="H92" s="36" t="n">
        <x:v>3314.779</x:v>
      </x:c>
      <x:c r="I92" s="36" t="n">
        <x:f>H92/1000</x:f>
        <x:v>3.314779</x:v>
      </x:c>
      <x:c r="J92" s="21" t="str">
        <x:v>dsv_modify_0814/dsv4_3_aico.jsonl</x:v>
      </x:c>
      <x:c r="K92" s="21" t="n">
        <x:v>39</x:v>
      </x:c>
      <x:c r="L92" s="21" t="str">
        <x:v>original精确文本</x:v>
      </x:c>
    </x:row>
    <x:row r="93">
      <x:c r="A93" s="38" t="n">
        <x:v>14</x:v>
      </x:c>
      <x:c r="B93" s="23" t="str">
        <x:v>找出CBN-福州仓山-福州火车南站C-HRHH-521和CBN-福州晋安-东浦新村4号楼C-HRHH-513这两个NR小区的方向角、移动国家码和站点名称。</x:v>
      </x:c>
      <x:c r="C93" s="23" t="str">
        <x:v>找出CBN-福州仓山-福州火车南站C-HRHH-521和CBN-福州晋安-东浦新村4号楼C-HRHH-513这两个NR小区的方向角、移动国家码和站点名称</x:v>
      </x:c>
      <x:c r="D93" s="23" t="str">
        <x:v>AICO Tool Call - Workflow</x:v>
      </x:c>
      <x:c r="E93" s="23" t="str">
        <x:v>Workflow</x:v>
      </x:c>
      <x:c r="F93" s="21" t="n">
        <x:v>1</x:v>
      </x:c>
      <x:c r="G93" s="21" t="str">
        <x:v>2026-08-14T07:30:30.174</x:v>
      </x:c>
      <x:c r="H93" s="36" t="n">
        <x:v>2694.718</x:v>
      </x:c>
      <x:c r="I93" s="36" t="n">
        <x:f>H93/1000</x:f>
        <x:v>2.694718</x:v>
      </x:c>
      <x:c r="J93" s="21" t="str">
        <x:v>dsv_modify_0814/dsv4_3_aico.jsonl</x:v>
      </x:c>
      <x:c r="K93" s="21" t="n">
        <x:v>40</x:v>
      </x:c>
      <x:c r="L93" s="21" t="str">
        <x:v>original精确文本</x:v>
      </x:c>
    </x:row>
    <x:row r="94">
      <x:c r="A94" s="38" t="n">
        <x:v>14</x:v>
      </x:c>
      <x:c r="B94" s="23" t="str">
        <x:v>找出CBN-福州仓山-福州火车南站C-HRHH-521和CBN-福州晋安-东浦新村4号楼C-HRHH-513这两个NR小区的方向角、移动国家码和站点名称。</x:v>
      </x:c>
      <x:c r="C94" s="23" t="str">
        <x:v>找出CBN-福州仓山-福州火车南站C-HRHH-521和CBN-福州晋安-东浦新村4号楼C-HRHH-513这两个NR小区的方向角、移动国家码和站点名称</x:v>
      </x:c>
      <x:c r="D94" s="23" t="str">
        <x:v>Recipe - DeepSeek</x:v>
      </x:c>
      <x:c r="E94" s="23" t="str">
        <x:v>DeepSeek recipe调用</x:v>
      </x:c>
      <x:c r="F94" s="21" t="n">
        <x:v>1</x:v>
      </x:c>
      <x:c r="G94" s="21" t="str">
        <x:v>2026-08-14T07:30:34.018</x:v>
      </x:c>
      <x:c r="H94" s="36" t="n">
        <x:v>2102.436</x:v>
      </x:c>
      <x:c r="I94" s="36" t="n">
        <x:f>H94/1000</x:f>
        <x:v>2.102436</x:v>
      </x:c>
      <x:c r="J94" s="21" t="str">
        <x:v>dsv_modify_0814/dsv4_3_recipe_ds.jsonl</x:v>
      </x:c>
      <x:c r="K94" s="21" t="n">
        <x:v>26</x:v>
      </x:c>
      <x:c r="L94" s="21" t="str">
        <x:v>processed精确文本</x:v>
      </x:c>
    </x:row>
    <x:row r="95">
      <x:c r="A95" s="38" t="n">
        <x:v>14</x:v>
      </x:c>
      <x:c r="B95" s="23" t="str">
        <x:v>找出CBN-福州仓山-福州火车南站C-HRHH-521和CBN-福州晋安-东浦新村4号楼C-HRHH-513这两个NR小区的方向角、移动国家码和站点名称。</x:v>
      </x:c>
      <x:c r="C95" s="23" t="str">
        <x:v>找出CBN-福州仓山-福州火车南站C-HRHH-521和CBN-福州晋安-东浦新村4号楼C-HRHH-513这两个NR小区的方向角、移动国家码和站点名称</x:v>
      </x:c>
      <x:c r="D95" s="23" t="str">
        <x:v>Recipe - Qwen执行</x:v>
      </x:c>
      <x:c r="E95" s="23" t="str">
        <x:v>同一问题第1次Qwen调用</x:v>
      </x:c>
      <x:c r="F95" s="21" t="n">
        <x:v>1</x:v>
      </x:c>
      <x:c r="G95" s="21" t="str">
        <x:v>2026-08-14T07:30:36.441</x:v>
      </x:c>
      <x:c r="H95" s="36" t="n">
        <x:v>2275.791</x:v>
      </x:c>
      <x:c r="I95" s="36" t="n">
        <x:f>H95/1000</x:f>
        <x:v>2.2757910000000003</x:v>
      </x:c>
      <x:c r="J95" s="21" t="str">
        <x:v>dsv_modify_0814/qwen_3.jsonl</x:v>
      </x:c>
      <x:c r="K95" s="21" t="n">
        <x:v>28</x:v>
      </x:c>
      <x:c r="L95" s="21" t="str">
        <x:v>processed精确文本</x:v>
      </x:c>
    </x:row>
    <x:row r="96">
      <x:c r="A96" s="38" t="n">
        <x:v>14</x:v>
      </x:c>
      <x:c r="B96" s="23" t="str">
        <x:v>找出CBN-福州仓山-福州火车南站C-HRHH-521和CBN-福州晋安-东浦新村4号楼C-HRHH-513这两个NR小区的方向角、移动国家码和站点名称。</x:v>
      </x:c>
      <x:c r="C96" s="23" t="str">
        <x:v>找出CBN-福州仓山-福州火车南站C-HRHH-521和CBN-福州晋安-东浦新村4号楼C-HRHH-513这两个NR小区的方向角、移动国家码和站点名称</x:v>
      </x:c>
      <x:c r="D96" s="23" t="str">
        <x:v>Recipe - Qwen执行</x:v>
      </x:c>
      <x:c r="E96" s="23" t="str">
        <x:v>同一问题第2次Qwen调用</x:v>
      </x:c>
      <x:c r="F96" s="21" t="n">
        <x:v>2</x:v>
      </x:c>
      <x:c r="G96" s="21" t="str">
        <x:v>2026-08-14T07:30:39.170</x:v>
      </x:c>
      <x:c r="H96" s="36" t="n">
        <x:v>2041.284</x:v>
      </x:c>
      <x:c r="I96" s="36" t="n">
        <x:f>H96/1000</x:f>
        <x:v>2.041284</x:v>
      </x:c>
      <x:c r="J96" s="21" t="str">
        <x:v>dsv_modify_0814/qwen_3.jsonl</x:v>
      </x:c>
      <x:c r="K96" s="21" t="n">
        <x:v>29</x:v>
      </x:c>
      <x:c r="L96" s="21" t="str">
        <x:v>processed精确文本</x:v>
      </x:c>
    </x:row>
    <x:row r="97">
      <x:c r="A97" s="38" t="n">
        <x:v>14</x:v>
      </x:c>
      <x:c r="B97" s="23" t="str">
        <x:v>找出CBN-福州仓山-福州火车南站C-HRHH-521和CBN-福州晋安-东浦新村4号楼C-HRHH-513这两个NR小区的方向角、移动国家码和站点名称。</x:v>
      </x:c>
      <x:c r="C97" s="23" t="str">
        <x:v>找出CBN-福州仓山-福州火车南站C-HRHH-521和CBN-福州晋安-东浦新村4号楼C-HRHH-513这两个NR小区的方向角、移动国家码和站点名称</x:v>
      </x:c>
      <x:c r="D97" s="23" t="str">
        <x:v>Recipe - Qwen总结</x:v>
      </x:c>
      <x:c r="E97" s="23" t="str">
        <x:v>同一问题最后一次Qwen调用</x:v>
      </x:c>
      <x:c r="F97" s="21" t="n">
        <x:v>1</x:v>
      </x:c>
      <x:c r="G97" s="21" t="str">
        <x:v>2026-08-14T07:30:41.710</x:v>
      </x:c>
      <x:c r="H97" s="36" t="n">
        <x:v>2208.354</x:v>
      </x:c>
      <x:c r="I97" s="36" t="n">
        <x:f>H97/1000</x:f>
        <x:v>2.208354</x:v>
      </x:c>
      <x:c r="J97" s="21" t="str">
        <x:v>dsv_modify_0814/qwen_3.jsonl</x:v>
      </x:c>
      <x:c r="K97" s="21" t="n">
        <x:v>30</x:v>
      </x:c>
      <x:c r="L97" s="21" t="str">
        <x:v>processed精确文本</x:v>
      </x:c>
    </x:row>
    <x:row r="98">
      <x:c r="A98" s="38" t="n">
        <x:v>14</x:v>
      </x:c>
      <x:c r="B98" s="23" t="str">
        <x:v>找出CBN-福州仓山-福州火车南站C-HRHH-521和CBN-福州晋安-东浦新村4号楼C-HRHH-513这两个NR小区的方向角、移动国家码和站点名称。</x:v>
      </x:c>
      <x:c r="C98" s="23" t="str">
        <x:v>找出CBN-福州仓山-福州火车南站C-HRHH-521和CBN-福州晋安-东浦新村4号楼C-HRHH-513这两个NR小区的方向角、移动国家码和站点名称</x:v>
      </x:c>
      <x:c r="D98" s="23" t="str">
        <x:v>AICO总结</x:v>
      </x:c>
      <x:c r="E98" s="23" t="str">
        <x:v>无tool_calls</x:v>
      </x:c>
      <x:c r="F98" s="21" t="n">
        <x:v>1</x:v>
      </x:c>
      <x:c r="G98" s="21" t="str">
        <x:v>2026-08-14T07:30:44.180</x:v>
      </x:c>
      <x:c r="H98" s="36" t="n">
        <x:v>4207.344</x:v>
      </x:c>
      <x:c r="I98" s="36" t="n">
        <x:f>H98/1000</x:f>
        <x:v>4.207344</x:v>
      </x:c>
      <x:c r="J98" s="21" t="str">
        <x:v>dsv_modify_0814/dsv4_3_aico.jsonl</x:v>
      </x:c>
      <x:c r="K98" s="21" t="n">
        <x:v>41</x:v>
      </x:c>
      <x:c r="L98" s="21" t="str">
        <x:v>original精确文本</x:v>
      </x:c>
    </x:row>
    <x:row r="99">
      <x:c r="A99" s="38" t="n">
        <x:v>14</x:v>
      </x:c>
      <x:c r="B99" s="23" t="str">
        <x:v>找出CBN-福州仓山-福州火车南站C-HRHH-521和CBN-福州晋安-东浦新村4号楼C-HRHH-513这两个NR小区的方向角、移动国家码和站点名称。</x:v>
      </x:c>
      <x:c r="C99" s="23" t="str">
        <x:v>找出CBN-福州仓山-福州火车南站C-HRHH-521和CBN-福州晋安-东浦新村4号楼C-HRHH-513这两个NR小区的方向角、移动国家码和站点名称</x:v>
      </x:c>
      <x:c r="D99" s="23" t="str">
        <x:v>问题推荐</x:v>
      </x:c>
      <x:c r="E99" s="23" t="str">
        <x:v>后续问题推荐</x:v>
      </x:c>
      <x:c r="F99" s="21" t="n">
        <x:v>1</x:v>
      </x:c>
      <x:c r="G99" s="21" t="str">
        <x:v>2026-08-14T07:30:48.664</x:v>
      </x:c>
      <x:c r="H99" s="36" t="n">
        <x:v>3418.068</x:v>
      </x:c>
      <x:c r="I99" s="36" t="n">
        <x:f>H99/1000</x:f>
        <x:v>3.4180680000000003</x:v>
      </x:c>
      <x:c r="J99" s="21" t="str">
        <x:v>dsv_modify_0814/dsv4_3_recipe_ds.jsonl</x:v>
      </x:c>
      <x:c r="K99" s="21" t="n">
        <x:v>27</x:v>
      </x:c>
      <x:c r="L99" s="21" t="str">
        <x:v>original精确文本</x:v>
      </x:c>
    </x:row>
    <x:row r="100">
      <x:c r="A100" s="38" t="n">
        <x:v>15</x:v>
      </x:c>
      <x:c r="B100" s="23" t="str">
        <x:v>确认一下CBN-深圳梅沙湾二U-H5H站点下5G小区的CGI、小区标识和机械下倾角。</x:v>
      </x:c>
      <x:c r="C100" s="23" t="str">
        <x:v>查询CBN-深圳梅沙湾二U-H5H站点下5G小区的CGI、小区标识和机械下倾角</x:v>
      </x:c>
      <x:c r="D100" s="23" t="str">
        <x:v>AICO Tool Call - Skill</x:v>
      </x:c>
      <x:c r="E100" s="23" t="str">
        <x:v>Skill</x:v>
      </x:c>
      <x:c r="F100" s="21" t="n">
        <x:v>1</x:v>
      </x:c>
      <x:c r="G100" s="21" t="str">
        <x:v>2026-08-14T07:30:49.528</x:v>
      </x:c>
      <x:c r="H100" s="36" t="n">
        <x:v>2599.42</x:v>
      </x:c>
      <x:c r="I100" s="36" t="n">
        <x:f>H100/1000</x:f>
        <x:v>2.5994200000000003</x:v>
      </x:c>
      <x:c r="J100" s="21" t="str">
        <x:v>dsv_modify_0814/dsv4_3_aico.jsonl</x:v>
      </x:c>
      <x:c r="K100" s="21" t="n">
        <x:v>42</x:v>
      </x:c>
      <x:c r="L100" s="21" t="str">
        <x:v>original精确文本</x:v>
      </x:c>
    </x:row>
    <x:row r="101">
      <x:c r="A101" s="38" t="n">
        <x:v>15</x:v>
      </x:c>
      <x:c r="B101" s="23" t="str">
        <x:v>确认一下CBN-深圳梅沙湾二U-H5H站点下5G小区的CGI、小区标识和机械下倾角。</x:v>
      </x:c>
      <x:c r="C101" s="23" t="str">
        <x:v>查询CBN-深圳梅沙湾二U-H5H站点下5G小区的CGI、小区标识和机械下倾角</x:v>
      </x:c>
      <x:c r="D101" s="23" t="str">
        <x:v>AICO Tool Call - Workflow</x:v>
      </x:c>
      <x:c r="E101" s="23" t="str">
        <x:v>Workflow</x:v>
      </x:c>
      <x:c r="F101" s="21" t="n">
        <x:v>1</x:v>
      </x:c>
      <x:c r="G101" s="21" t="str">
        <x:v>2026-08-14T07:30:52.278</x:v>
      </x:c>
      <x:c r="H101" s="36" t="n">
        <x:v>2366.36</x:v>
      </x:c>
      <x:c r="I101" s="36" t="n">
        <x:f>H101/1000</x:f>
        <x:v>2.3663600000000002</x:v>
      </x:c>
      <x:c r="J101" s="21" t="str">
        <x:v>dsv_modify_0814/dsv4_3_aico.jsonl</x:v>
      </x:c>
      <x:c r="K101" s="21" t="n">
        <x:v>43</x:v>
      </x:c>
      <x:c r="L101" s="21" t="str">
        <x:v>original精确文本</x:v>
      </x:c>
    </x:row>
    <x:row r="102">
      <x:c r="A102" s="38" t="n">
        <x:v>15</x:v>
      </x:c>
      <x:c r="B102" s="23" t="str">
        <x:v>确认一下CBN-深圳梅沙湾二U-H5H站点下5G小区的CGI、小区标识和机械下倾角。</x:v>
      </x:c>
      <x:c r="C102" s="23" t="str">
        <x:v>查询CBN-深圳梅沙湾二U-H5H站点下5G小区的CGI、小区标识和机械下倾角</x:v>
      </x:c>
      <x:c r="D102" s="23" t="str">
        <x:v>Recipe - DeepSeek</x:v>
      </x:c>
      <x:c r="E102" s="23" t="str">
        <x:v>DeepSeek recipe调用</x:v>
      </x:c>
      <x:c r="F102" s="21" t="n">
        <x:v>1</x:v>
      </x:c>
      <x:c r="G102" s="21" t="str">
        <x:v>2026-08-14T07:30:55.749</x:v>
      </x:c>
      <x:c r="H102" s="36" t="n">
        <x:v>1619.71</x:v>
      </x:c>
      <x:c r="I102" s="36" t="n">
        <x:f>H102/1000</x:f>
        <x:v>1.61971</x:v>
      </x:c>
      <x:c r="J102" s="21" t="str">
        <x:v>dsv_modify_0814/dsv4_3_recipe_ds.jsonl</x:v>
      </x:c>
      <x:c r="K102" s="21" t="n">
        <x:v>28</x:v>
      </x:c>
      <x:c r="L102" s="21" t="str">
        <x:v>processed精确文本</x:v>
      </x:c>
    </x:row>
    <x:row r="103">
      <x:c r="A103" s="38" t="n">
        <x:v>15</x:v>
      </x:c>
      <x:c r="B103" s="23" t="str">
        <x:v>确认一下CBN-深圳梅沙湾二U-H5H站点下5G小区的CGI、小区标识和机械下倾角。</x:v>
      </x:c>
      <x:c r="C103" s="23" t="str">
        <x:v>查询CBN-深圳梅沙湾二U-H5H站点下5G小区的CGI、小区标识和机械下倾角</x:v>
      </x:c>
      <x:c r="D103" s="23" t="str">
        <x:v>Recipe - Qwen执行</x:v>
      </x:c>
      <x:c r="E103" s="23" t="str">
        <x:v>同一问题第3次Qwen调用</x:v>
      </x:c>
      <x:c r="F103" s="21" t="n">
        <x:v>3</x:v>
      </x:c>
      <x:c r="G103" s="21" t="str">
        <x:v>2026-08-14T07:30:57.710</x:v>
      </x:c>
      <x:c r="H103" s="36" t="n">
        <x:v>1757.821</x:v>
      </x:c>
      <x:c r="I103" s="36" t="n">
        <x:f>H103/1000</x:f>
        <x:v>1.7578209999999999</x:v>
      </x:c>
      <x:c r="J103" s="21" t="str">
        <x:v>dsv_modify_0814/qwen_3.jsonl</x:v>
      </x:c>
      <x:c r="K103" s="21" t="n">
        <x:v>31</x:v>
      </x:c>
      <x:c r="L103" s="21" t="str">
        <x:v>processed精确文本</x:v>
      </x:c>
    </x:row>
    <x:row r="104">
      <x:c r="A104" s="38" t="n">
        <x:v>15</x:v>
      </x:c>
      <x:c r="B104" s="23" t="str">
        <x:v>确认一下CBN-深圳梅沙湾二U-H5H站点下5G小区的CGI、小区标识和机械下倾角。</x:v>
      </x:c>
      <x:c r="C104" s="23" t="str">
        <x:v>查询CBN-深圳梅沙湾二U-H5H站点下5G小区的CGI、小区标识和机械下倾角</x:v>
      </x:c>
      <x:c r="D104" s="23" t="str">
        <x:v>Recipe - Qwen总结</x:v>
      </x:c>
      <x:c r="E104" s="23" t="str">
        <x:v>同一问题最后一次Qwen调用</x:v>
      </x:c>
      <x:c r="F104" s="21" t="n">
        <x:v>1</x:v>
      </x:c>
      <x:c r="G104" s="21" t="str">
        <x:v>2026-08-14T07:30:59.957</x:v>
      </x:c>
      <x:c r="H104" s="36" t="n">
        <x:v>2765.965</x:v>
      </x:c>
      <x:c r="I104" s="36" t="n">
        <x:f>H104/1000</x:f>
        <x:v>2.765965</x:v>
      </x:c>
      <x:c r="J104" s="21" t="str">
        <x:v>dsv_modify_0814/qwen_3.jsonl</x:v>
      </x:c>
      <x:c r="K104" s="21" t="n">
        <x:v>32</x:v>
      </x:c>
      <x:c r="L104" s="21" t="str">
        <x:v>processed精确文本</x:v>
      </x:c>
    </x:row>
    <x:row r="105">
      <x:c r="A105" s="38" t="n">
        <x:v>15</x:v>
      </x:c>
      <x:c r="B105" s="23" t="str">
        <x:v>确认一下CBN-深圳梅沙湾二U-H5H站点下5G小区的CGI、小区标识和机械下倾角。</x:v>
      </x:c>
      <x:c r="C105" s="23" t="str">
        <x:v>查询CBN-深圳梅沙湾二U-H5H站点下5G小区的CGI、小区标识和机械下倾角</x:v>
      </x:c>
      <x:c r="D105" s="23" t="str">
        <x:v>AICO总结</x:v>
      </x:c>
      <x:c r="E105" s="23" t="str">
        <x:v>无tool_calls</x:v>
      </x:c>
      <x:c r="F105" s="21" t="n">
        <x:v>1</x:v>
      </x:c>
      <x:c r="G105" s="21" t="str">
        <x:v>2026-08-14T07:31:02.983</x:v>
      </x:c>
      <x:c r="H105" s="36" t="n">
        <x:v>4166.441</x:v>
      </x:c>
      <x:c r="I105" s="36" t="n">
        <x:f>H105/1000</x:f>
        <x:v>4.166441</x:v>
      </x:c>
      <x:c r="J105" s="21" t="str">
        <x:v>dsv_modify_0814/dsv4_3_aico.jsonl</x:v>
      </x:c>
      <x:c r="K105" s="21" t="n">
        <x:v>44</x:v>
      </x:c>
      <x:c r="L105" s="21" t="str">
        <x:v>original精确文本</x:v>
      </x:c>
    </x:row>
    <x:row r="106">
      <x:c r="A106" s="38" t="n">
        <x:v>15</x:v>
      </x:c>
      <x:c r="B106" s="23" t="str">
        <x:v>确认一下CBN-深圳梅沙湾二U-H5H站点下5G小区的CGI、小区标识和机械下倾角。</x:v>
      </x:c>
      <x:c r="C106" s="23" t="str">
        <x:v>查询CBN-深圳梅沙湾二U-H5H站点下5G小区的CGI、小区标识和机械下倾角</x:v>
      </x:c>
      <x:c r="D106" s="23" t="str">
        <x:v>问题推荐</x:v>
      </x:c>
      <x:c r="E106" s="23" t="str">
        <x:v>后续问题推荐</x:v>
      </x:c>
      <x:c r="F106" s="21" t="n">
        <x:v>1</x:v>
      </x:c>
      <x:c r="G106" s="21" t="str">
        <x:v>2026-08-14T07:31:07.553</x:v>
      </x:c>
      <x:c r="H106" s="36" t="n">
        <x:v>3200.888</x:v>
      </x:c>
      <x:c r="I106" s="36" t="n">
        <x:f>H106/1000</x:f>
        <x:v>3.200888</x:v>
      </x:c>
      <x:c r="J106" s="21" t="str">
        <x:v>dsv_modify_0814/dsv4_3_recipe_ds.jsonl</x:v>
      </x:c>
      <x:c r="K106" s="21" t="n">
        <x:v>29</x:v>
      </x:c>
      <x:c r="L106" s="21" t="str">
        <x:v>original精确文本</x:v>
      </x:c>
    </x:row>
    <x:row r="107">
      <x:c r="A107" s="38" t="n">
        <x:v>16</x:v>
      </x:c>
      <x:c r="B107" s="23" t="str">
        <x:v>帮我查一下CBN-深圳梅沙湾U-H5H站点下天线高度大于30米的小区，返回小区名称、天线高度和方位角。</x:v>
      </x:c>
      <x:c r="C107" s="23" t="str">
        <x:v>查询CBN-深圳梅沙湾U-H5H站点下天线高度大于30米的小区，返回小区名称、天线高度和方位角</x:v>
      </x:c>
      <x:c r="D107" s="23" t="str">
        <x:v>AICO Tool Call - Skill</x:v>
      </x:c>
      <x:c r="E107" s="23" t="str">
        <x:v>Skill</x:v>
      </x:c>
      <x:c r="F107" s="21" t="n">
        <x:v>1</x:v>
      </x:c>
      <x:c r="G107" s="21" t="str">
        <x:v>2026-08-14T07:31:08.423</x:v>
      </x:c>
      <x:c r="H107" s="36" t="n">
        <x:v>2602.082</x:v>
      </x:c>
      <x:c r="I107" s="36" t="n">
        <x:f>H107/1000</x:f>
        <x:v>2.602082</x:v>
      </x:c>
      <x:c r="J107" s="21" t="str">
        <x:v>dsv_modify_0814/dsv4_3_aico.jsonl</x:v>
      </x:c>
      <x:c r="K107" s="21" t="n">
        <x:v>45</x:v>
      </x:c>
      <x:c r="L107" s="21" t="str">
        <x:v>original精确文本</x:v>
      </x:c>
    </x:row>
    <x:row r="108">
      <x:c r="A108" s="38" t="n">
        <x:v>16</x:v>
      </x:c>
      <x:c r="B108" s="23" t="str">
        <x:v>帮我查一下CBN-深圳梅沙湾U-H5H站点下天线高度大于30米的小区，返回小区名称、天线高度和方位角。</x:v>
      </x:c>
      <x:c r="C108" s="23" t="str">
        <x:v>查询CBN-深圳梅沙湾U-H5H站点下天线高度大于30米的小区，返回小区名称、天线高度和方位角</x:v>
      </x:c>
      <x:c r="D108" s="23" t="str">
        <x:v>AICO Tool Call - Workflow</x:v>
      </x:c>
      <x:c r="E108" s="23" t="str">
        <x:v>Workflow</x:v>
      </x:c>
      <x:c r="F108" s="21" t="n">
        <x:v>1</x:v>
      </x:c>
      <x:c r="G108" s="21" t="str">
        <x:v>2026-08-14T07:31:11.195</x:v>
      </x:c>
      <x:c r="H108" s="36" t="n">
        <x:v>2356.967</x:v>
      </x:c>
      <x:c r="I108" s="36" t="n">
        <x:f>H108/1000</x:f>
        <x:v>2.356967</x:v>
      </x:c>
      <x:c r="J108" s="21" t="str">
        <x:v>dsv_modify_0814/dsv4_3_aico.jsonl</x:v>
      </x:c>
      <x:c r="K108" s="21" t="n">
        <x:v>46</x:v>
      </x:c>
      <x:c r="L108" s="21" t="str">
        <x:v>original精确文本</x:v>
      </x:c>
    </x:row>
    <x:row r="109">
      <x:c r="A109" s="38" t="n">
        <x:v>16</x:v>
      </x:c>
      <x:c r="B109" s="23" t="str">
        <x:v>帮我查一下CBN-深圳梅沙湾U-H5H站点下天线高度大于30米的小区，返回小区名称、天线高度和方位角。</x:v>
      </x:c>
      <x:c r="C109" s="23" t="str">
        <x:v>查询CBN-深圳梅沙湾U-H5H站点下天线高度大于30米的小区，返回小区名称、天线高度和方位角</x:v>
      </x:c>
      <x:c r="D109" s="23" t="str">
        <x:v>Recipe - DeepSeek</x:v>
      </x:c>
      <x:c r="E109" s="23" t="str">
        <x:v>DeepSeek recipe调用</x:v>
      </x:c>
      <x:c r="F109" s="21" t="n">
        <x:v>1</x:v>
      </x:c>
      <x:c r="G109" s="21" t="str">
        <x:v>2026-08-14T07:31:15.111</x:v>
      </x:c>
      <x:c r="H109" s="36" t="n">
        <x:v>1591.874</x:v>
      </x:c>
      <x:c r="I109" s="36" t="n">
        <x:f>H109/1000</x:f>
        <x:v>1.591874</x:v>
      </x:c>
      <x:c r="J109" s="21" t="str">
        <x:v>dsv_modify_0814/dsv4_3_recipe_ds.jsonl</x:v>
      </x:c>
      <x:c r="K109" s="21" t="n">
        <x:v>30</x:v>
      </x:c>
      <x:c r="L109" s="21" t="str">
        <x:v>processed精确文本</x:v>
      </x:c>
    </x:row>
    <x:row r="110">
      <x:c r="A110" s="38" t="n">
        <x:v>16</x:v>
      </x:c>
      <x:c r="B110" s="23" t="str">
        <x:v>帮我查一下CBN-深圳梅沙湾U-H5H站点下天线高度大于30米的小区，返回小区名称、天线高度和方位角。</x:v>
      </x:c>
      <x:c r="C110" s="23" t="str">
        <x:v>查询CBN-深圳梅沙湾U-H5H站点下天线高度大于30米的小区，返回小区名称、天线高度和方位角</x:v>
      </x:c>
      <x:c r="D110" s="23" t="str">
        <x:v>Recipe - Qwen执行</x:v>
      </x:c>
      <x:c r="E110" s="23" t="str">
        <x:v>同一问题第1次Qwen调用</x:v>
      </x:c>
      <x:c r="F110" s="21" t="n">
        <x:v>1</x:v>
      </x:c>
      <x:c r="G110" s="21" t="str">
        <x:v>2026-08-14T07:31:17.079</x:v>
      </x:c>
      <x:c r="H110" s="36" t="n">
        <x:v>2950.935</x:v>
      </x:c>
      <x:c r="I110" s="36" t="n">
        <x:f>H110/1000</x:f>
        <x:v>2.950935</x:v>
      </x:c>
      <x:c r="J110" s="21" t="str">
        <x:v>dsv_modify_0814/qwen_3.jsonl</x:v>
      </x:c>
      <x:c r="K110" s="21" t="n">
        <x:v>33</x:v>
      </x:c>
      <x:c r="L110" s="21" t="str">
        <x:v>processed精确文本</x:v>
      </x:c>
    </x:row>
    <x:row r="111">
      <x:c r="A111" s="38" t="n">
        <x:v>16</x:v>
      </x:c>
      <x:c r="B111" s="23" t="str">
        <x:v>帮我查一下CBN-深圳梅沙湾U-H5H站点下天线高度大于30米的小区，返回小区名称、天线高度和方位角。</x:v>
      </x:c>
      <x:c r="C111" s="23" t="str">
        <x:v>查询CBN-深圳梅沙湾U-H5H站点下天线高度大于30米的小区，返回小区名称、天线高度和方位角</x:v>
      </x:c>
      <x:c r="D111" s="23" t="str">
        <x:v>Recipe - Qwen总结</x:v>
      </x:c>
      <x:c r="E111" s="23" t="str">
        <x:v>同一问题最后一次Qwen调用</x:v>
      </x:c>
      <x:c r="F111" s="21" t="n">
        <x:v>1</x:v>
      </x:c>
      <x:c r="G111" s="21" t="str">
        <x:v>2026-08-14T07:31:20.545</x:v>
      </x:c>
      <x:c r="H111" s="36" t="n">
        <x:v>1361.436</x:v>
      </x:c>
      <x:c r="I111" s="36" t="n">
        <x:f>H111/1000</x:f>
        <x:v>1.3614359999999999</x:v>
      </x:c>
      <x:c r="J111" s="21" t="str">
        <x:v>dsv_modify_0814/qwen_3.jsonl</x:v>
      </x:c>
      <x:c r="K111" s="21" t="n">
        <x:v>34</x:v>
      </x:c>
      <x:c r="L111" s="21" t="str">
        <x:v>processed精确文本</x:v>
      </x:c>
    </x:row>
    <x:row r="112">
      <x:c r="A112" s="38" t="n">
        <x:v>16</x:v>
      </x:c>
      <x:c r="B112" s="23" t="str">
        <x:v>帮我查一下CBN-深圳梅沙湾U-H5H站点下天线高度大于30米的小区，返回小区名称、天线高度和方位角。</x:v>
      </x:c>
      <x:c r="C112" s="23" t="str">
        <x:v>查询CBN-深圳梅沙湾U-H5H站点下天线高度大于30米的小区，返回小区名称、天线高度和方位角</x:v>
      </x:c>
      <x:c r="D112" s="23" t="str">
        <x:v>AICO总结</x:v>
      </x:c>
      <x:c r="E112" s="23" t="str">
        <x:v>无tool_calls</x:v>
      </x:c>
      <x:c r="F112" s="21" t="n">
        <x:v>1</x:v>
      </x:c>
      <x:c r="G112" s="21" t="str">
        <x:v>2026-08-14T07:31:22.184</x:v>
      </x:c>
      <x:c r="H112" s="36" t="n">
        <x:v>2380.838</x:v>
      </x:c>
      <x:c r="I112" s="36" t="n">
        <x:f>H112/1000</x:f>
        <x:v>2.3808380000000002</x:v>
      </x:c>
      <x:c r="J112" s="21" t="str">
        <x:v>dsv_modify_0814/dsv4_3_aico.jsonl</x:v>
      </x:c>
      <x:c r="K112" s="21" t="n">
        <x:v>47</x:v>
      </x:c>
      <x:c r="L112" s="21" t="str">
        <x:v>original精确文本</x:v>
      </x:c>
    </x:row>
    <x:row r="113">
      <x:c r="A113" s="38" t="n">
        <x:v>16</x:v>
      </x:c>
      <x:c r="B113" s="23" t="str">
        <x:v>帮我查一下CBN-深圳梅沙湾U-H5H站点下天线高度大于30米的小区，返回小区名称、天线高度和方位角。</x:v>
      </x:c>
      <x:c r="C113" s="23" t="str">
        <x:v>查询CBN-深圳梅沙湾U-H5H站点下天线高度大于30米的小区，返回小区名称、天线高度和方位角</x:v>
      </x:c>
      <x:c r="D113" s="23" t="str">
        <x:v>问题推荐</x:v>
      </x:c>
      <x:c r="E113" s="23" t="str">
        <x:v>后续问题推荐</x:v>
      </x:c>
      <x:c r="F113" s="21" t="n">
        <x:v>1</x:v>
      </x:c>
      <x:c r="G113" s="21" t="str">
        <x:v>2026-08-14T07:31:24.856</x:v>
      </x:c>
      <x:c r="H113" s="36" t="n">
        <x:v>2739.455</x:v>
      </x:c>
      <x:c r="I113" s="36" t="n">
        <x:f>H113/1000</x:f>
        <x:v>2.739455</x:v>
      </x:c>
      <x:c r="J113" s="21" t="str">
        <x:v>dsv_modify_0814/dsv4_3_recipe_ds.jsonl</x:v>
      </x:c>
      <x:c r="K113" s="21" t="n">
        <x:v>31</x:v>
      </x:c>
      <x:c r="L113" s="21" t="str">
        <x:v>original精确文本</x:v>
      </x:c>
    </x:row>
    <x:row r="114">
      <x:c r="A114" s="38" t="n">
        <x:v>17</x:v>
      </x:c>
      <x:c r="B114" s="23" t="str">
        <x:v>找出深圳奥特莱斯D-HRW-1和深圳奥特莱斯D-HRH-2这两个5G小区中，机械下倾角在3到9之间的小区名称、机械下倾角和电子下倾角。</x:v>
      </x:c>
      <x:c r="C114" s="23" t="str">
        <x:v>找出深圳奥特莱斯D-HRW-1和深圳奥特莱斯D-HRH-2这两个5G小区中，机械下倾角在3到9之间的小区名称、机械下倾角和电子下倾角</x:v>
      </x:c>
      <x:c r="D114" s="23" t="str">
        <x:v>AICO Tool Call - Skill</x:v>
      </x:c>
      <x:c r="E114" s="23" t="str">
        <x:v>Skill</x:v>
      </x:c>
      <x:c r="F114" s="21" t="n">
        <x:v>1</x:v>
      </x:c>
      <x:c r="G114" s="21" t="str">
        <x:v>2026-08-14T07:31:25.702</x:v>
      </x:c>
      <x:c r="H114" s="36" t="n">
        <x:v>4849.847</x:v>
      </x:c>
      <x:c r="I114" s="36" t="n">
        <x:f>H114/1000</x:f>
        <x:v>4.849847</x:v>
      </x:c>
      <x:c r="J114" s="21" t="str">
        <x:v>dsv_modify_0814/dsv4_3_aico.jsonl</x:v>
      </x:c>
      <x:c r="K114" s="21" t="n">
        <x:v>48</x:v>
      </x:c>
      <x:c r="L114" s="21" t="str">
        <x:v>original精确文本</x:v>
      </x:c>
    </x:row>
    <x:row r="115">
      <x:c r="A115" s="38" t="n">
        <x:v>17</x:v>
      </x:c>
      <x:c r="B115" s="23" t="str">
        <x:v>找出深圳奥特莱斯D-HRW-1和深圳奥特莱斯D-HRH-2这两个5G小区中，机械下倾角在3到9之间的小区名称、机械下倾角和电子下倾角。</x:v>
      </x:c>
      <x:c r="C115" s="23" t="str">
        <x:v>找出深圳奥特莱斯D-HRW-1和深圳奥特莱斯D-HRH-2这两个5G小区中，机械下倾角在3到9之间的小区名称、机械下倾角和电子下倾角</x:v>
      </x:c>
      <x:c r="D115" s="23" t="str">
        <x:v>AICO Tool Call - Workflow</x:v>
      </x:c>
      <x:c r="E115" s="23" t="str">
        <x:v>Workflow</x:v>
      </x:c>
      <x:c r="F115" s="21" t="n">
        <x:v>1</x:v>
      </x:c>
      <x:c r="G115" s="21" t="str">
        <x:v>2026-08-14T07:31:30.734</x:v>
      </x:c>
      <x:c r="H115" s="36" t="n">
        <x:v>2786.113</x:v>
      </x:c>
      <x:c r="I115" s="36" t="n">
        <x:f>H115/1000</x:f>
        <x:v>2.786113</x:v>
      </x:c>
      <x:c r="J115" s="21" t="str">
        <x:v>dsv_modify_0814/dsv4_3_aico.jsonl</x:v>
      </x:c>
      <x:c r="K115" s="21" t="n">
        <x:v>49</x:v>
      </x:c>
      <x:c r="L115" s="21" t="str">
        <x:v>original精确文本</x:v>
      </x:c>
    </x:row>
    <x:row r="116">
      <x:c r="A116" s="38" t="n">
        <x:v>17</x:v>
      </x:c>
      <x:c r="B116" s="23" t="str">
        <x:v>找出深圳奥特莱斯D-HRW-1和深圳奥特莱斯D-HRH-2这两个5G小区中，机械下倾角在3到9之间的小区名称、机械下倾角和电子下倾角。</x:v>
      </x:c>
      <x:c r="C116" s="23" t="str">
        <x:v>找出深圳奥特莱斯D-HRW-1和深圳奥特莱斯D-HRH-2这两个5G小区中，机械下倾角在3到9之间的小区名称、机械下倾角和电子下倾角</x:v>
      </x:c>
      <x:c r="D116" s="23" t="str">
        <x:v>Recipe - DeepSeek</x:v>
      </x:c>
      <x:c r="E116" s="23" t="str">
        <x:v>DeepSeek recipe调用</x:v>
      </x:c>
      <x:c r="F116" s="21" t="n">
        <x:v>1</x:v>
      </x:c>
      <x:c r="G116" s="21" t="str">
        <x:v>2026-08-14T07:31:34.656</x:v>
      </x:c>
      <x:c r="H116" s="36" t="n">
        <x:v>2050.705</x:v>
      </x:c>
      <x:c r="I116" s="36" t="n">
        <x:f>H116/1000</x:f>
        <x:v>2.050705</x:v>
      </x:c>
      <x:c r="J116" s="21" t="str">
        <x:v>dsv_modify_0814/dsv4_3_recipe_ds.jsonl</x:v>
      </x:c>
      <x:c r="K116" s="21" t="n">
        <x:v>32</x:v>
      </x:c>
      <x:c r="L116" s="21" t="str">
        <x:v>processed精确文本</x:v>
      </x:c>
    </x:row>
    <x:row r="117">
      <x:c r="A117" s="38" t="n">
        <x:v>17</x:v>
      </x:c>
      <x:c r="B117" s="23" t="str">
        <x:v>找出深圳奥特莱斯D-HRW-1和深圳奥特莱斯D-HRH-2这两个5G小区中，机械下倾角在3到9之间的小区名称、机械下倾角和电子下倾角。</x:v>
      </x:c>
      <x:c r="C117" s="23" t="str">
        <x:v>找出深圳奥特莱斯D-HRW-1和深圳奥特莱斯D-HRH-2这两个5G小区中，机械下倾角在3到9之间的小区名称、机械下倾角和电子下倾角</x:v>
      </x:c>
      <x:c r="D117" s="23" t="str">
        <x:v>Recipe - Qwen执行</x:v>
      </x:c>
      <x:c r="E117" s="23" t="str">
        <x:v>同一问题第1次Qwen调用</x:v>
      </x:c>
      <x:c r="F117" s="21" t="n">
        <x:v>1</x:v>
      </x:c>
      <x:c r="G117" s="21" t="str">
        <x:v>2026-08-14T07:31:37.030</x:v>
      </x:c>
      <x:c r="H117" s="36" t="n">
        <x:v>3266.38</x:v>
      </x:c>
      <x:c r="I117" s="36" t="n">
        <x:f>H117/1000</x:f>
        <x:v>3.2663800000000003</x:v>
      </x:c>
      <x:c r="J117" s="21" t="str">
        <x:v>dsv_modify_0814/qwen_3.jsonl</x:v>
      </x:c>
      <x:c r="K117" s="21" t="n">
        <x:v>35</x:v>
      </x:c>
      <x:c r="L117" s="21" t="str">
        <x:v>processed精确文本</x:v>
      </x:c>
    </x:row>
    <x:row r="118">
      <x:c r="A118" s="38" t="n">
        <x:v>17</x:v>
      </x:c>
      <x:c r="B118" s="23" t="str">
        <x:v>找出深圳奥特莱斯D-HRW-1和深圳奥特莱斯D-HRH-2这两个5G小区中，机械下倾角在3到9之间的小区名称、机械下倾角和电子下倾角。</x:v>
      </x:c>
      <x:c r="C118" s="23" t="str">
        <x:v>找出深圳奥特莱斯D-HRW-1和深圳奥特莱斯D-HRH-2这两个5G小区中，机械下倾角在3到9之间的小区名称、机械下倾角和电子下倾角</x:v>
      </x:c>
      <x:c r="D118" s="23" t="str">
        <x:v>Recipe - Qwen总结</x:v>
      </x:c>
      <x:c r="E118" s="23" t="str">
        <x:v>同一问题最后一次Qwen调用</x:v>
      </x:c>
      <x:c r="F118" s="21" t="n">
        <x:v>1</x:v>
      </x:c>
      <x:c r="G118" s="21" t="str">
        <x:v>2026-08-14T07:31:40.827</x:v>
      </x:c>
      <x:c r="H118" s="36" t="n">
        <x:v>1650.121</x:v>
      </x:c>
      <x:c r="I118" s="36" t="n">
        <x:f>H118/1000</x:f>
        <x:v>1.6501210000000002</x:v>
      </x:c>
      <x:c r="J118" s="21" t="str">
        <x:v>dsv_modify_0814/qwen_3.jsonl</x:v>
      </x:c>
      <x:c r="K118" s="21" t="n">
        <x:v>36</x:v>
      </x:c>
      <x:c r="L118" s="21" t="str">
        <x:v>processed精确文本</x:v>
      </x:c>
    </x:row>
    <x:row r="119">
      <x:c r="A119" s="38" t="n">
        <x:v>17</x:v>
      </x:c>
      <x:c r="B119" s="23" t="str">
        <x:v>找出深圳奥特莱斯D-HRW-1和深圳奥特莱斯D-HRH-2这两个5G小区中，机械下倾角在3到9之间的小区名称、机械下倾角和电子下倾角。</x:v>
      </x:c>
      <x:c r="C119" s="23" t="str">
        <x:v>找出深圳奥特莱斯D-HRW-1和深圳奥特莱斯D-HRH-2这两个5G小区中，机械下倾角在3到9之间的小区名称、机械下倾角和电子下倾角</x:v>
      </x:c>
      <x:c r="D119" s="23" t="str">
        <x:v>AICO总结</x:v>
      </x:c>
      <x:c r="E119" s="23" t="str">
        <x:v>无tool_calls</x:v>
      </x:c>
      <x:c r="F119" s="21" t="n">
        <x:v>1</x:v>
      </x:c>
      <x:c r="G119" s="21" t="str">
        <x:v>2026-08-14T07:31:42.743</x:v>
      </x:c>
      <x:c r="H119" s="36" t="n">
        <x:v>2610.515</x:v>
      </x:c>
      <x:c r="I119" s="36" t="n">
        <x:f>H119/1000</x:f>
        <x:v>2.610515</x:v>
      </x:c>
      <x:c r="J119" s="21" t="str">
        <x:v>dsv_modify_0814/dsv4_3_aico.jsonl</x:v>
      </x:c>
      <x:c r="K119" s="21" t="n">
        <x:v>50</x:v>
      </x:c>
      <x:c r="L119" s="21" t="str">
        <x:v>original精确文本</x:v>
      </x:c>
    </x:row>
    <x:row r="120">
      <x:c r="A120" s="38" t="n">
        <x:v>17</x:v>
      </x:c>
      <x:c r="B120" s="23" t="str">
        <x:v>找出深圳奥特莱斯D-HRW-1和深圳奥特莱斯D-HRH-2这两个5G小区中，机械下倾角在3到9之间的小区名称、机械下倾角和电子下倾角。</x:v>
      </x:c>
      <x:c r="C120" s="23" t="str">
        <x:v>找出深圳奥特莱斯D-HRW-1和深圳奥特莱斯D-HRH-2这两个5G小区中，机械下倾角在3到9之间的小区名称、机械下倾角和电子下倾角</x:v>
      </x:c>
      <x:c r="D120" s="23" t="str">
        <x:v>问题推荐</x:v>
      </x:c>
      <x:c r="E120" s="23" t="str">
        <x:v>后续问题推荐</x:v>
      </x:c>
      <x:c r="F120" s="21" t="n">
        <x:v>1</x:v>
      </x:c>
      <x:c r="G120" s="21" t="str">
        <x:v>2026-08-14T07:31:45.644</x:v>
      </x:c>
      <x:c r="H120" s="36" t="n">
        <x:v>4070.362</x:v>
      </x:c>
      <x:c r="I120" s="36" t="n">
        <x:f>H120/1000</x:f>
        <x:v>4.070362</x:v>
      </x:c>
      <x:c r="J120" s="21" t="str">
        <x:v>dsv_modify_0814/dsv4_3_recipe_ds.jsonl</x:v>
      </x:c>
      <x:c r="K120" s="21" t="n">
        <x:v>33</x:v>
      </x:c>
      <x:c r="L120" s="21" t="str">
        <x:v>original精确文本</x:v>
      </x:c>
    </x:row>
    <x:row r="121">
      <x:c r="A121" s="38" t="n">
        <x:v>18</x:v>
      </x:c>
      <x:c r="B121" s="23" t="str">
        <x:v>看一下CBN-福州晋安-东浦新村4号楼C-HRHH站点下，方位角等于90且电子下倾角不超过6的小区，返回小区名称、方位角和电子下倾角。</x:v>
      </x:c>
      <x:c r="C121" s="23" t="str">
        <x:v>查询CBN-福州晋安-东浦新村4号楼C-HRHH站点下，方位角等于90且电子下倾角不超过6的小区，返回小区名称、方位角和电子下倾角</x:v>
      </x:c>
      <x:c r="D121" s="23" t="str">
        <x:v>AICO Tool Call - Skill</x:v>
      </x:c>
      <x:c r="E121" s="23" t="str">
        <x:v>Skill</x:v>
      </x:c>
      <x:c r="F121" s="21" t="n">
        <x:v>1</x:v>
      </x:c>
      <x:c r="G121" s="21" t="str">
        <x:v>2026-08-14T07:31:46.519</x:v>
      </x:c>
      <x:c r="H121" s="36" t="n">
        <x:v>3625.277</x:v>
      </x:c>
      <x:c r="I121" s="36" t="n">
        <x:f>H121/1000</x:f>
        <x:v>3.625277</x:v>
      </x:c>
      <x:c r="J121" s="21" t="str">
        <x:v>dsv_modify_0814/dsv4_3_aico.jsonl</x:v>
      </x:c>
      <x:c r="K121" s="21" t="n">
        <x:v>51</x:v>
      </x:c>
      <x:c r="L121" s="21" t="str">
        <x:v>original精确文本</x:v>
      </x:c>
    </x:row>
    <x:row r="122">
      <x:c r="A122" s="38" t="n">
        <x:v>18</x:v>
      </x:c>
      <x:c r="B122" s="23" t="str">
        <x:v>看一下CBN-福州晋安-东浦新村4号楼C-HRHH站点下，方位角等于90且电子下倾角不超过6的小区，返回小区名称、方位角和电子下倾角。</x:v>
      </x:c>
      <x:c r="C122" s="23" t="str">
        <x:v>查询CBN-福州晋安-东浦新村4号楼C-HRHH站点下，方位角等于90且电子下倾角不超过6的小区，返回小区名称、方位角和电子下倾角</x:v>
      </x:c>
      <x:c r="D122" s="23" t="str">
        <x:v>AICO Tool Call - Workflow</x:v>
      </x:c>
      <x:c r="E122" s="23" t="str">
        <x:v>Workflow</x:v>
      </x:c>
      <x:c r="F122" s="21" t="n">
        <x:v>1</x:v>
      </x:c>
      <x:c r="G122" s="21" t="str">
        <x:v>2026-08-14T07:31:50.297</x:v>
      </x:c>
      <x:c r="H122" s="36" t="n">
        <x:v>2929.883</x:v>
      </x:c>
      <x:c r="I122" s="36" t="n">
        <x:f>H122/1000</x:f>
        <x:v>2.929883</x:v>
      </x:c>
      <x:c r="J122" s="21" t="str">
        <x:v>dsv_modify_0814/dsv4_3_aico.jsonl</x:v>
      </x:c>
      <x:c r="K122" s="21" t="n">
        <x:v>52</x:v>
      </x:c>
      <x:c r="L122" s="21" t="str">
        <x:v>original精确文本</x:v>
      </x:c>
    </x:row>
    <x:row r="123">
      <x:c r="A123" s="38" t="n">
        <x:v>18</x:v>
      </x:c>
      <x:c r="B123" s="23" t="str">
        <x:v>看一下CBN-福州晋安-东浦新村4号楼C-HRHH站点下，方位角等于90且电子下倾角不超过6的小区，返回小区名称、方位角和电子下倾角。</x:v>
      </x:c>
      <x:c r="C123" s="23" t="str">
        <x:v>查询CBN-福州晋安-东浦新村4号楼C-HRHH站点下，方位角等于90且电子下倾角不超过6的小区，返回小区名称、方位角和电子下倾角</x:v>
      </x:c>
      <x:c r="D123" s="23" t="str">
        <x:v>Recipe - DeepSeek</x:v>
      </x:c>
      <x:c r="E123" s="23" t="str">
        <x:v>DeepSeek recipe调用</x:v>
      </x:c>
      <x:c r="F123" s="21" t="n">
        <x:v>1</x:v>
      </x:c>
      <x:c r="G123" s="21" t="str">
        <x:v>2026-08-14T07:31:54.617</x:v>
      </x:c>
      <x:c r="H123" s="36" t="n">
        <x:v>2113.704</x:v>
      </x:c>
      <x:c r="I123" s="36" t="n">
        <x:f>H123/1000</x:f>
        <x:v>2.1137040000000002</x:v>
      </x:c>
      <x:c r="J123" s="21" t="str">
        <x:v>dsv_modify_0814/dsv4_3_recipe_ds.jsonl</x:v>
      </x:c>
      <x:c r="K123" s="21" t="n">
        <x:v>34</x:v>
      </x:c>
      <x:c r="L123" s="21" t="str">
        <x:v>processed精确文本</x:v>
      </x:c>
    </x:row>
    <x:row r="124">
      <x:c r="A124" s="38" t="n">
        <x:v>18</x:v>
      </x:c>
      <x:c r="B124" s="23" t="str">
        <x:v>看一下CBN-福州晋安-东浦新村4号楼C-HRHH站点下，方位角等于90且电子下倾角不超过6的小区，返回小区名称、方位角和电子下倾角。</x:v>
      </x:c>
      <x:c r="C124" s="23" t="str">
        <x:v>查询CBN-福州晋安-东浦新村4号楼C-HRHH站点下，方位角等于90且电子下倾角不超过6的小区，返回小区名称、方位角和电子下倾角</x:v>
      </x:c>
      <x:c r="D124" s="23" t="str">
        <x:v>Recipe - Qwen执行</x:v>
      </x:c>
      <x:c r="E124" s="23" t="str">
        <x:v>同一问题第1次Qwen调用</x:v>
      </x:c>
      <x:c r="F124" s="21" t="n">
        <x:v>1</x:v>
      </x:c>
      <x:c r="G124" s="21" t="str">
        <x:v>2026-08-14T07:31:57.058</x:v>
      </x:c>
      <x:c r="H124" s="36" t="n">
        <x:v>2088.861</x:v>
      </x:c>
      <x:c r="I124" s="36" t="n">
        <x:f>H124/1000</x:f>
        <x:v>2.088861</x:v>
      </x:c>
      <x:c r="J124" s="21" t="str">
        <x:v>dsv_modify_0814/qwen_3.jsonl</x:v>
      </x:c>
      <x:c r="K124" s="21" t="n">
        <x:v>37</x:v>
      </x:c>
      <x:c r="L124" s="21" t="str">
        <x:v>processed精确文本</x:v>
      </x:c>
    </x:row>
    <x:row r="125">
      <x:c r="A125" s="38" t="n">
        <x:v>18</x:v>
      </x:c>
      <x:c r="B125" s="23" t="str">
        <x:v>看一下CBN-福州晋安-东浦新村4号楼C-HRHH站点下，方位角等于90且电子下倾角不超过6的小区，返回小区名称、方位角和电子下倾角。</x:v>
      </x:c>
      <x:c r="C125" s="23" t="str">
        <x:v>查询CBN-福州晋安-东浦新村4号楼C-HRHH站点下，方位角等于90且电子下倾角不超过6的小区，返回小区名称、方位角和电子下倾角</x:v>
      </x:c>
      <x:c r="D125" s="23" t="str">
        <x:v>Recipe - Qwen总结</x:v>
      </x:c>
      <x:c r="E125" s="23" t="str">
        <x:v>同一问题最后一次Qwen调用</x:v>
      </x:c>
      <x:c r="F125" s="21" t="n">
        <x:v>1</x:v>
      </x:c>
      <x:c r="G125" s="21" t="str">
        <x:v>2026-08-14T07:31:59.627</x:v>
      </x:c>
      <x:c r="H125" s="36" t="n">
        <x:v>2654.233</x:v>
      </x:c>
      <x:c r="I125" s="36" t="n">
        <x:f>H125/1000</x:f>
        <x:v>2.654233</x:v>
      </x:c>
      <x:c r="J125" s="21" t="str">
        <x:v>dsv_modify_0814/qwen_3.jsonl</x:v>
      </x:c>
      <x:c r="K125" s="21" t="n">
        <x:v>38</x:v>
      </x:c>
      <x:c r="L125" s="21" t="str">
        <x:v>processed精确文本</x:v>
      </x:c>
    </x:row>
    <x:row r="126">
      <x:c r="A126" s="38" t="n">
        <x:v>18</x:v>
      </x:c>
      <x:c r="B126" s="23" t="str">
        <x:v>看一下CBN-福州晋安-东浦新村4号楼C-HRHH站点下，方位角等于90且电子下倾角不超过6的小区，返回小区名称、方位角和电子下倾角。</x:v>
      </x:c>
      <x:c r="C126" s="23" t="str">
        <x:v>查询CBN-福州晋安-东浦新村4号楼C-HRHH站点下，方位角等于90且电子下倾角不超过6的小区，返回小区名称、方位角和电子下倾角</x:v>
      </x:c>
      <x:c r="D126" s="23" t="str">
        <x:v>AICO总结</x:v>
      </x:c>
      <x:c r="E126" s="23" t="str">
        <x:v>无tool_calls</x:v>
      </x:c>
      <x:c r="F126" s="21" t="n">
        <x:v>1</x:v>
      </x:c>
      <x:c r="G126" s="21" t="str">
        <x:v>2026-08-14T07:32:02.548</x:v>
      </x:c>
      <x:c r="H126" s="36" t="n">
        <x:v>2621.774</x:v>
      </x:c>
      <x:c r="I126" s="36" t="n">
        <x:f>H126/1000</x:f>
        <x:v>2.621774</x:v>
      </x:c>
      <x:c r="J126" s="21" t="str">
        <x:v>dsv_modify_0814/dsv4_3_aico.jsonl</x:v>
      </x:c>
      <x:c r="K126" s="21" t="n">
        <x:v>53</x:v>
      </x:c>
      <x:c r="L126" s="21" t="str">
        <x:v>original精确文本</x:v>
      </x:c>
    </x:row>
    <x:row r="127">
      <x:c r="A127" s="38" t="n">
        <x:v>18</x:v>
      </x:c>
      <x:c r="B127" s="23" t="str">
        <x:v>看一下CBN-福州晋安-东浦新村4号楼C-HRHH站点下，方位角等于90且电子下倾角不超过6的小区，返回小区名称、方位角和电子下倾角。</x:v>
      </x:c>
      <x:c r="C127" s="23" t="str">
        <x:v>查询CBN-福州晋安-东浦新村4号楼C-HRHH站点下，方位角等于90且电子下倾角不超过6的小区，返回小区名称、方位角和电子下倾角</x:v>
      </x:c>
      <x:c r="D127" s="23" t="str">
        <x:v>问题推荐</x:v>
      </x:c>
      <x:c r="E127" s="23" t="str">
        <x:v>后续问题推荐</x:v>
      </x:c>
      <x:c r="F127" s="21" t="n">
        <x:v>1</x:v>
      </x:c>
      <x:c r="G127" s="21" t="str">
        <x:v>2026-08-14T07:32:05.453</x:v>
      </x:c>
      <x:c r="H127" s="36" t="n">
        <x:v>3131.693</x:v>
      </x:c>
      <x:c r="I127" s="36" t="n">
        <x:f>H127/1000</x:f>
        <x:v>3.1316930000000003</x:v>
      </x:c>
      <x:c r="J127" s="21" t="str">
        <x:v>dsv_modify_0814/dsv4_3_recipe_ds.jsonl</x:v>
      </x:c>
      <x:c r="K127" s="21" t="n">
        <x:v>35</x:v>
      </x:c>
      <x:c r="L127" s="21" t="str">
        <x:v>original精确文本</x:v>
      </x:c>
    </x:row>
    <x:row r="128">
      <x:c r="A128" s="38" t="n">
        <x:v>19</x:v>
      </x:c>
      <x:c r="B128" s="23" t="str">
        <x:v>帮我筛一下深圳东海岸三D-HRH和深圳大梅沙海滨公园D-HRW-1这两个站点下，天线高度为20或25米的小区，返回小区名称、天线高度和站点名称。</x:v>
      </x:c>
      <x:c r="C128" s="23" t="str">
        <x:v>查询深圳东海岸三D-HRH和深圳大梅沙海滨公园D-HRW-1这两个站点下，天线高度为20或25米的小区，返回小区名称、天线高度和站点名称</x:v>
      </x:c>
      <x:c r="D128" s="23" t="str">
        <x:v>AICO Tool Call - Skill</x:v>
      </x:c>
      <x:c r="E128" s="23" t="str">
        <x:v>Skill</x:v>
      </x:c>
      <x:c r="F128" s="21" t="n">
        <x:v>1</x:v>
      </x:c>
      <x:c r="G128" s="21" t="str">
        <x:v>2026-08-14T07:32:06.332</x:v>
      </x:c>
      <x:c r="H128" s="36" t="n">
        <x:v>2665.797</x:v>
      </x:c>
      <x:c r="I128" s="36" t="n">
        <x:f>H128/1000</x:f>
        <x:v>2.665797</x:v>
      </x:c>
      <x:c r="J128" s="21" t="str">
        <x:v>dsv_modify_0814/dsv4_3_aico.jsonl</x:v>
      </x:c>
      <x:c r="K128" s="21" t="n">
        <x:v>54</x:v>
      </x:c>
      <x:c r="L128" s="21" t="str">
        <x:v>original精确文本</x:v>
      </x:c>
    </x:row>
    <x:row r="129">
      <x:c r="A129" s="38" t="n">
        <x:v>19</x:v>
      </x:c>
      <x:c r="B129" s="23" t="str">
        <x:v>帮我筛一下深圳东海岸三D-HRH和深圳大梅沙海滨公园D-HRW-1这两个站点下，天线高度为20或25米的小区，返回小区名称、天线高度和站点名称。</x:v>
      </x:c>
      <x:c r="C129" s="23" t="str">
        <x:v>查询深圳东海岸三D-HRH和深圳大梅沙海滨公园D-HRW-1这两个站点下，天线高度为20或25米的小区，返回小区名称、天线高度和站点名称</x:v>
      </x:c>
      <x:c r="D129" s="23" t="str">
        <x:v>AICO Tool Call - Workflow</x:v>
      </x:c>
      <x:c r="E129" s="23" t="str">
        <x:v>Workflow</x:v>
      </x:c>
      <x:c r="F129" s="21" t="n">
        <x:v>1</x:v>
      </x:c>
      <x:c r="G129" s="21" t="str">
        <x:v>2026-08-14T07:32:09.152</x:v>
      </x:c>
      <x:c r="H129" s="36" t="n">
        <x:v>3253.343</x:v>
      </x:c>
      <x:c r="I129" s="36" t="n">
        <x:f>H129/1000</x:f>
        <x:v>3.2533429999999997</x:v>
      </x:c>
      <x:c r="J129" s="21" t="str">
        <x:v>dsv_modify_0814/dsv4_3_aico.jsonl</x:v>
      </x:c>
      <x:c r="K129" s="21" t="n">
        <x:v>55</x:v>
      </x:c>
      <x:c r="L129" s="21" t="str">
        <x:v>original精确文本</x:v>
      </x:c>
    </x:row>
    <x:row r="130">
      <x:c r="A130" s="38" t="n">
        <x:v>19</x:v>
      </x:c>
      <x:c r="B130" s="23" t="str">
        <x:v>帮我筛一下深圳东海岸三D-HRH和深圳大梅沙海滨公园D-HRW-1这两个站点下，天线高度为20或25米的小区，返回小区名称、天线高度和站点名称。</x:v>
      </x:c>
      <x:c r="C130" s="23" t="str">
        <x:v>查询深圳东海岸三D-HRH和深圳大梅沙海滨公园D-HRW-1这两个站点下，天线高度为20或25米的小区，返回小区名称、天线高度和站点名称</x:v>
      </x:c>
      <x:c r="D130" s="23" t="str">
        <x:v>Recipe - DeepSeek</x:v>
      </x:c>
      <x:c r="E130" s="23" t="str">
        <x:v>DeepSeek recipe调用</x:v>
      </x:c>
      <x:c r="F130" s="21" t="n">
        <x:v>1</x:v>
      </x:c>
      <x:c r="G130" s="21" t="str">
        <x:v>2026-08-14T07:32:13.879</x:v>
      </x:c>
      <x:c r="H130" s="36" t="n">
        <x:v>1846.961</x:v>
      </x:c>
      <x:c r="I130" s="36" t="n">
        <x:f>H130/1000</x:f>
        <x:v>1.846961</x:v>
      </x:c>
      <x:c r="J130" s="21" t="str">
        <x:v>dsv_modify_0814/dsv4_3_recipe_ds.jsonl</x:v>
      </x:c>
      <x:c r="K130" s="21" t="n">
        <x:v>36</x:v>
      </x:c>
      <x:c r="L130" s="21" t="str">
        <x:v>processed精确文本</x:v>
      </x:c>
    </x:row>
    <x:row r="131">
      <x:c r="A131" s="38" t="n">
        <x:v>19</x:v>
      </x:c>
      <x:c r="B131" s="23" t="str">
        <x:v>帮我筛一下深圳东海岸三D-HRH和深圳大梅沙海滨公园D-HRW-1这两个站点下，天线高度为20或25米的小区，返回小区名称、天线高度和站点名称。</x:v>
      </x:c>
      <x:c r="C131" s="23" t="str">
        <x:v>查询深圳东海岸三D-HRH和深圳大梅沙海滨公园D-HRW-1这两个站点下，天线高度为20或25米的小区，返回小区名称、天线高度和站点名称</x:v>
      </x:c>
      <x:c r="D131" s="23" t="str">
        <x:v>Recipe - Qwen执行</x:v>
      </x:c>
      <x:c r="E131" s="23" t="str">
        <x:v>同一问题第1次Qwen调用</x:v>
      </x:c>
      <x:c r="F131" s="21" t="n">
        <x:v>1</x:v>
      </x:c>
      <x:c r="G131" s="21" t="str">
        <x:v>2026-08-14T07:32:16.055</x:v>
      </x:c>
      <x:c r="H131" s="36" t="n">
        <x:v>2299.404</x:v>
      </x:c>
      <x:c r="I131" s="36" t="n">
        <x:f>H131/1000</x:f>
        <x:v>2.299404</x:v>
      </x:c>
      <x:c r="J131" s="21" t="str">
        <x:v>dsv_modify_0814/qwen_3.jsonl</x:v>
      </x:c>
      <x:c r="K131" s="21" t="n">
        <x:v>39</x:v>
      </x:c>
      <x:c r="L131" s="21" t="str">
        <x:v>processed精确文本</x:v>
      </x:c>
    </x:row>
    <x:row r="132">
      <x:c r="A132" s="38" t="n">
        <x:v>19</x:v>
      </x:c>
      <x:c r="B132" s="23" t="str">
        <x:v>帮我筛一下深圳东海岸三D-HRH和深圳大梅沙海滨公园D-HRW-1这两个站点下，天线高度为20或25米的小区，返回小区名称、天线高度和站点名称。</x:v>
      </x:c>
      <x:c r="C132" s="23" t="str">
        <x:v>查询深圳东海岸三D-HRH和深圳大梅沙海滨公园D-HRW-1这两个站点下，天线高度为20或25米的小区，返回小区名称、天线高度和站点名称</x:v>
      </x:c>
      <x:c r="D132" s="23" t="str">
        <x:v>Recipe - Qwen总结</x:v>
      </x:c>
      <x:c r="E132" s="23" t="str">
        <x:v>同一问题最后一次Qwen调用</x:v>
      </x:c>
      <x:c r="F132" s="21" t="n">
        <x:v>1</x:v>
      </x:c>
      <x:c r="G132" s="21" t="str">
        <x:v>2026-08-14T07:32:18.863</x:v>
      </x:c>
      <x:c r="H132" s="36" t="n">
        <x:v>1498.989</x:v>
      </x:c>
      <x:c r="I132" s="36" t="n">
        <x:f>H132/1000</x:f>
        <x:v>1.4989890000000001</x:v>
      </x:c>
      <x:c r="J132" s="21" t="str">
        <x:v>dsv_modify_0814/qwen_3.jsonl</x:v>
      </x:c>
      <x:c r="K132" s="21" t="n">
        <x:v>40</x:v>
      </x:c>
      <x:c r="L132" s="21" t="str">
        <x:v>processed精确文本</x:v>
      </x:c>
    </x:row>
    <x:row r="133">
      <x:c r="A133" s="38" t="n">
        <x:v>19</x:v>
      </x:c>
      <x:c r="B133" s="23" t="str">
        <x:v>帮我筛一下深圳东海岸三D-HRH和深圳大梅沙海滨公园D-HRW-1这两个站点下，天线高度为20或25米的小区，返回小区名称、天线高度和站点名称。</x:v>
      </x:c>
      <x:c r="C133" s="23" t="str">
        <x:v>查询深圳东海岸三D-HRH和深圳大梅沙海滨公园D-HRW-1这两个站点下，天线高度为20或25米的小区，返回小区名称、天线高度和站点名称</x:v>
      </x:c>
      <x:c r="D133" s="23" t="str">
        <x:v>AICO总结</x:v>
      </x:c>
      <x:c r="E133" s="23" t="str">
        <x:v>无tool_calls</x:v>
      </x:c>
      <x:c r="F133" s="21" t="n">
        <x:v>1</x:v>
      </x:c>
      <x:c r="G133" s="21" t="str">
        <x:v>2026-08-14T07:32:20.626</x:v>
      </x:c>
      <x:c r="H133" s="36" t="n">
        <x:v>2701.729</x:v>
      </x:c>
      <x:c r="I133" s="36" t="n">
        <x:f>H133/1000</x:f>
        <x:v>2.701729</x:v>
      </x:c>
      <x:c r="J133" s="21" t="str">
        <x:v>dsv_modify_0814/dsv4_3_aico.jsonl</x:v>
      </x:c>
      <x:c r="K133" s="21" t="n">
        <x:v>56</x:v>
      </x:c>
      <x:c r="L133" s="21" t="str">
        <x:v>original精确文本</x:v>
      </x:c>
    </x:row>
    <x:row r="134">
      <x:c r="A134" s="38" t="n">
        <x:v>19</x:v>
      </x:c>
      <x:c r="B134" s="23" t="str">
        <x:v>帮我筛一下深圳东海岸三D-HRH和深圳大梅沙海滨公园D-HRW-1这两个站点下，天线高度为20或25米的小区，返回小区名称、天线高度和站点名称。</x:v>
      </x:c>
      <x:c r="C134" s="23" t="str">
        <x:v>查询深圳东海岸三D-HRH和深圳大梅沙海滨公园D-HRW-1这两个站点下，天线高度为20或25米的小区，返回小区名称、天线高度和站点名称</x:v>
      </x:c>
      <x:c r="D134" s="23" t="str">
        <x:v>问题推荐</x:v>
      </x:c>
      <x:c r="E134" s="23" t="str">
        <x:v>后续问题推荐</x:v>
      </x:c>
      <x:c r="F134" s="21" t="n">
        <x:v>1</x:v>
      </x:c>
      <x:c r="G134" s="21" t="str">
        <x:v>2026-08-14T07:32:23.606</x:v>
      </x:c>
      <x:c r="H134" s="36" t="n">
        <x:v>3181.673</x:v>
      </x:c>
      <x:c r="I134" s="36" t="n">
        <x:f>H134/1000</x:f>
        <x:v>3.181673</x:v>
      </x:c>
      <x:c r="J134" s="21" t="str">
        <x:v>dsv_modify_0814/dsv4_3_recipe_ds.jsonl</x:v>
      </x:c>
      <x:c r="K134" s="21" t="n">
        <x:v>37</x:v>
      </x:c>
      <x:c r="L134" s="21" t="str">
        <x:v>original精确文本</x:v>
      </x:c>
    </x:row>
    <x:row r="135">
      <x:c r="A135" s="38" t="n">
        <x:v>20</x:v>
      </x:c>
      <x:c r="B135" s="23" t="str">
        <x:v>确认一下CBN-深圳大梅沙二U-H5H-0711这个NR小区，如果方位角不是180度，返回它的小区名称、方位角和经度。</x:v>
      </x:c>
      <x:c r="C135" s="23" t="str">
        <x:v>确认CBN-深圳大梅沙二U-H5H-0711这个NR小区，如果方位角不是180度，返回它的小区名称、方位角和经度</x:v>
      </x:c>
      <x:c r="D135" s="23" t="str">
        <x:v>AICO Tool Call - Skill</x:v>
      </x:c>
      <x:c r="E135" s="23" t="str">
        <x:v>Skill</x:v>
      </x:c>
      <x:c r="F135" s="21" t="n">
        <x:v>1</x:v>
      </x:c>
      <x:c r="G135" s="21" t="str">
        <x:v>2026-08-14T07:32:24.490</x:v>
      </x:c>
      <x:c r="H135" s="36" t="n">
        <x:v>2621.011</x:v>
      </x:c>
      <x:c r="I135" s="36" t="n">
        <x:f>H135/1000</x:f>
        <x:v>2.6210109999999998</x:v>
      </x:c>
      <x:c r="J135" s="21" t="str">
        <x:v>dsv_modify_0814/dsv4_3_aico.jsonl</x:v>
      </x:c>
      <x:c r="K135" s="21" t="n">
        <x:v>57</x:v>
      </x:c>
      <x:c r="L135" s="21" t="str">
        <x:v>original精确文本</x:v>
      </x:c>
    </x:row>
    <x:row r="136">
      <x:c r="A136" s="38" t="n">
        <x:v>20</x:v>
      </x:c>
      <x:c r="B136" s="23" t="str">
        <x:v>确认一下CBN-深圳大梅沙二U-H5H-0711这个NR小区，如果方位角不是180度，返回它的小区名称、方位角和经度。</x:v>
      </x:c>
      <x:c r="C136" s="23" t="str">
        <x:v>确认CBN-深圳大梅沙二U-H5H-0711这个NR小区，如果方位角不是180度，返回它的小区名称、方位角和经度</x:v>
      </x:c>
      <x:c r="D136" s="23" t="str">
        <x:v>AICO Tool Call - Workflow</x:v>
      </x:c>
      <x:c r="E136" s="23" t="str">
        <x:v>Workflow</x:v>
      </x:c>
      <x:c r="F136" s="21" t="n">
        <x:v>1</x:v>
      </x:c>
      <x:c r="G136" s="21" t="str">
        <x:v>2026-08-14T07:32:27.268</x:v>
      </x:c>
      <x:c r="H136" s="36" t="n">
        <x:v>2488.265</x:v>
      </x:c>
      <x:c r="I136" s="36" t="n">
        <x:f>H136/1000</x:f>
        <x:v>2.4882649999999997</x:v>
      </x:c>
      <x:c r="J136" s="21" t="str">
        <x:v>dsv_modify_0814/dsv4_3_aico.jsonl</x:v>
      </x:c>
      <x:c r="K136" s="21" t="n">
        <x:v>58</x:v>
      </x:c>
      <x:c r="L136" s="21" t="str">
        <x:v>original精确文本</x:v>
      </x:c>
    </x:row>
    <x:row r="137">
      <x:c r="A137" s="38" t="n">
        <x:v>20</x:v>
      </x:c>
      <x:c r="B137" s="23" t="str">
        <x:v>确认一下CBN-深圳大梅沙二U-H5H-0711这个NR小区，如果方位角不是180度，返回它的小区名称、方位角和经度。</x:v>
      </x:c>
      <x:c r="C137" s="23" t="str">
        <x:v>确认CBN-深圳大梅沙二U-H5H-0711这个NR小区，如果方位角不是180度，返回它的小区名称、方位角和经度</x:v>
      </x:c>
      <x:c r="D137" s="23" t="str">
        <x:v>Recipe - DeepSeek</x:v>
      </x:c>
      <x:c r="E137" s="23" t="str">
        <x:v>DeepSeek recipe调用</x:v>
      </x:c>
      <x:c r="F137" s="21" t="n">
        <x:v>1</x:v>
      </x:c>
      <x:c r="G137" s="21" t="str">
        <x:v>2026-08-14T07:32:30.897</x:v>
      </x:c>
      <x:c r="H137" s="36" t="n">
        <x:v>1965.639</x:v>
      </x:c>
      <x:c r="I137" s="36" t="n">
        <x:f>H137/1000</x:f>
        <x:v>1.965639</x:v>
      </x:c>
      <x:c r="J137" s="21" t="str">
        <x:v>dsv_modify_0814/dsv4_3_recipe_ds.jsonl</x:v>
      </x:c>
      <x:c r="K137" s="21" t="n">
        <x:v>38</x:v>
      </x:c>
      <x:c r="L137" s="21" t="str">
        <x:v>processed精确文本</x:v>
      </x:c>
    </x:row>
    <x:row r="138">
      <x:c r="A138" s="38" t="n">
        <x:v>20</x:v>
      </x:c>
      <x:c r="B138" s="23" t="str">
        <x:v>确认一下CBN-深圳大梅沙二U-H5H-0711这个NR小区，如果方位角不是180度，返回它的小区名称、方位角和经度。</x:v>
      </x:c>
      <x:c r="C138" s="23" t="str">
        <x:v>确认CBN-深圳大梅沙二U-H5H-0711这个NR小区，如果方位角不是180度，返回它的小区名称、方位角和经度</x:v>
      </x:c>
      <x:c r="D138" s="23" t="str">
        <x:v>Recipe - Qwen执行</x:v>
      </x:c>
      <x:c r="E138" s="23" t="str">
        <x:v>同一问题第1次Qwen调用</x:v>
      </x:c>
      <x:c r="F138" s="21" t="n">
        <x:v>1</x:v>
      </x:c>
      <x:c r="G138" s="21" t="str">
        <x:v>2026-08-14T07:32:33.195</x:v>
      </x:c>
      <x:c r="H138" s="36" t="n">
        <x:v>3061.513</x:v>
      </x:c>
      <x:c r="I138" s="36" t="n">
        <x:f>H138/1000</x:f>
        <x:v>3.0615129999999997</x:v>
      </x:c>
      <x:c r="J138" s="21" t="str">
        <x:v>dsv_modify_0814/qwen_3.jsonl</x:v>
      </x:c>
      <x:c r="K138" s="21" t="n">
        <x:v>41</x:v>
      </x:c>
      <x:c r="L138" s="21" t="str">
        <x:v>processed精确文本</x:v>
      </x:c>
    </x:row>
    <x:row r="139">
      <x:c r="A139" s="38" t="n">
        <x:v>20</x:v>
      </x:c>
      <x:c r="B139" s="23" t="str">
        <x:v>确认一下CBN-深圳大梅沙二U-H5H-0711这个NR小区，如果方位角不是180度，返回它的小区名称、方位角和经度。</x:v>
      </x:c>
      <x:c r="C139" s="23" t="str">
        <x:v>确认CBN-深圳大梅沙二U-H5H-0711这个NR小区，如果方位角不是180度，返回它的小区名称、方位角和经度</x:v>
      </x:c>
      <x:c r="D139" s="23" t="str">
        <x:v>Recipe - Qwen总结</x:v>
      </x:c>
      <x:c r="E139" s="23" t="str">
        <x:v>同一问题最后一次Qwen调用</x:v>
      </x:c>
      <x:c r="F139" s="21" t="n">
        <x:v>1</x:v>
      </x:c>
      <x:c r="G139" s="21" t="str">
        <x:v>2026-08-14T07:32:36.760</x:v>
      </x:c>
      <x:c r="H139" s="36" t="n">
        <x:v>1779.494</x:v>
      </x:c>
      <x:c r="I139" s="36" t="n">
        <x:f>H139/1000</x:f>
        <x:v>1.779494</x:v>
      </x:c>
      <x:c r="J139" s="21" t="str">
        <x:v>dsv_modify_0814/qwen_3.jsonl</x:v>
      </x:c>
      <x:c r="K139" s="21" t="n">
        <x:v>42</x:v>
      </x:c>
      <x:c r="L139" s="21" t="str">
        <x:v>processed精确文本</x:v>
      </x:c>
    </x:row>
    <x:row r="140">
      <x:c r="A140" s="38" t="n">
        <x:v>20</x:v>
      </x:c>
      <x:c r="B140" s="23" t="str">
        <x:v>确认一下CBN-深圳大梅沙二U-H5H-0711这个NR小区，如果方位角不是180度，返回它的小区名称、方位角和经度。</x:v>
      </x:c>
      <x:c r="C140" s="23" t="str">
        <x:v>确认CBN-深圳大梅沙二U-H5H-0711这个NR小区，如果方位角不是180度，返回它的小区名称、方位角和经度</x:v>
      </x:c>
      <x:c r="D140" s="23" t="str">
        <x:v>AICO总结</x:v>
      </x:c>
      <x:c r="E140" s="23" t="str">
        <x:v>无tool_calls</x:v>
      </x:c>
      <x:c r="F140" s="21" t="n">
        <x:v>1</x:v>
      </x:c>
      <x:c r="G140" s="21" t="str">
        <x:v>2026-08-14T07:32:38.794</x:v>
      </x:c>
      <x:c r="H140" s="36" t="n">
        <x:v>2713.499</x:v>
      </x:c>
      <x:c r="I140" s="36" t="n">
        <x:f>H140/1000</x:f>
        <x:v>2.7134989999999997</x:v>
      </x:c>
      <x:c r="J140" s="21" t="str">
        <x:v>dsv_modify_0814/dsv4_3_aico.jsonl</x:v>
      </x:c>
      <x:c r="K140" s="21" t="n">
        <x:v>59</x:v>
      </x:c>
      <x:c r="L140" s="21" t="str">
        <x:v>original精确文本</x:v>
      </x:c>
    </x:row>
    <x:row r="141">
      <x:c r="A141" s="38" t="n">
        <x:v>20</x:v>
      </x:c>
      <x:c r="B141" s="23" t="str">
        <x:v>确认一下CBN-深圳大梅沙二U-H5H-0711这个NR小区，如果方位角不是180度，返回它的小区名称、方位角和经度。</x:v>
      </x:c>
      <x:c r="C141" s="23" t="str">
        <x:v>确认CBN-深圳大梅沙二U-H5H-0711这个NR小区，如果方位角不是180度，返回它的小区名称、方位角和经度</x:v>
      </x:c>
      <x:c r="D141" s="23" t="str">
        <x:v>问题推荐</x:v>
      </x:c>
      <x:c r="E141" s="23" t="str">
        <x:v>后续问题推荐</x:v>
      </x:c>
      <x:c r="F141" s="21" t="n">
        <x:v>1</x:v>
      </x:c>
      <x:c r="G141" s="21" t="str">
        <x:v>2026-08-14T07:32:41.799</x:v>
      </x:c>
      <x:c r="H141" s="36" t="n">
        <x:v>2967.417</x:v>
      </x:c>
      <x:c r="I141" s="36" t="n">
        <x:f>H141/1000</x:f>
        <x:v>2.9674169999999997</x:v>
      </x:c>
      <x:c r="J141" s="21" t="str">
        <x:v>dsv_modify_0814/dsv4_3_recipe_ds.jsonl</x:v>
      </x:c>
      <x:c r="K141" s="21" t="n">
        <x:v>39</x:v>
      </x:c>
      <x:c r="L141" s="21" t="str">
        <x:v>original精确文本</x:v>
      </x:c>
    </x:row>
    <x:row r="142">
      <x:c r="A142" s="38" t="n">
        <x:v>21</x:v>
      </x:c>
      <x:c r="B142" s="23" t="str">
        <x:v>帮我查一下 CBN-福州仓山-永南路与站后路交叉口C-HRHH-515 小区的方位角和机械下倾角。</x:v>
      </x:c>
      <x:c r="C142" s="23" t="str">
        <x:v>查询 CBN-福州仓山-永南路与站后路交叉口C-HRHH-515 小区的方位角和机械下倾角</x:v>
      </x:c>
      <x:c r="D142" s="23" t="str">
        <x:v>AICO Tool Call - Skill</x:v>
      </x:c>
      <x:c r="E142" s="23" t="str">
        <x:v>Skill</x:v>
      </x:c>
      <x:c r="F142" s="21" t="n">
        <x:v>1</x:v>
      </x:c>
      <x:c r="G142" s="21" t="str">
        <x:v>2026-08-14T07:32:42.666</x:v>
      </x:c>
      <x:c r="H142" s="36" t="n">
        <x:v>2559.134</x:v>
      </x:c>
      <x:c r="I142" s="36" t="n">
        <x:f>H142/1000</x:f>
        <x:v>2.559134</x:v>
      </x:c>
      <x:c r="J142" s="21" t="str">
        <x:v>dsv_modify_0814/dsv4_3_aico.jsonl</x:v>
      </x:c>
      <x:c r="K142" s="21" t="n">
        <x:v>60</x:v>
      </x:c>
      <x:c r="L142" s="21" t="str">
        <x:v>original精确文本</x:v>
      </x:c>
    </x:row>
    <x:row r="143">
      <x:c r="A143" s="38" t="n">
        <x:v>21</x:v>
      </x:c>
      <x:c r="B143" s="23" t="str">
        <x:v>帮我查一下 CBN-福州仓山-永南路与站后路交叉口C-HRHH-515 小区的方位角和机械下倾角。</x:v>
      </x:c>
      <x:c r="C143" s="23" t="str">
        <x:v>查询 CBN-福州仓山-永南路与站后路交叉口C-HRHH-515 小区的方位角和机械下倾角</x:v>
      </x:c>
      <x:c r="D143" s="23" t="str">
        <x:v>AICO Tool Call - Workflow</x:v>
      </x:c>
      <x:c r="E143" s="23" t="str">
        <x:v>Workflow</x:v>
      </x:c>
      <x:c r="F143" s="21" t="n">
        <x:v>1</x:v>
      </x:c>
      <x:c r="G143" s="21" t="str">
        <x:v>2026-08-14T07:32:45.378</x:v>
      </x:c>
      <x:c r="H143" s="36" t="n">
        <x:v>2416.622</x:v>
      </x:c>
      <x:c r="I143" s="36" t="n">
        <x:f>H143/1000</x:f>
        <x:v>2.416622</x:v>
      </x:c>
      <x:c r="J143" s="21" t="str">
        <x:v>dsv_modify_0814/dsv4_3_aico.jsonl</x:v>
      </x:c>
      <x:c r="K143" s="21" t="n">
        <x:v>61</x:v>
      </x:c>
      <x:c r="L143" s="21" t="str">
        <x:v>original精确文本</x:v>
      </x:c>
    </x:row>
    <x:row r="144">
      <x:c r="A144" s="38" t="n">
        <x:v>21</x:v>
      </x:c>
      <x:c r="B144" s="23" t="str">
        <x:v>帮我查一下 CBN-福州仓山-永南路与站后路交叉口C-HRHH-515 小区的方位角和机械下倾角。</x:v>
      </x:c>
      <x:c r="C144" s="23" t="str">
        <x:v>查询 CBN-福州仓山-永南路与站后路交叉口C-HRHH-515 小区的方位角和机械下倾角</x:v>
      </x:c>
      <x:c r="D144" s="23" t="str">
        <x:v>Recipe - DeepSeek</x:v>
      </x:c>
      <x:c r="E144" s="23" t="str">
        <x:v>DeepSeek recipe调用</x:v>
      </x:c>
      <x:c r="F144" s="21" t="n">
        <x:v>1</x:v>
      </x:c>
      <x:c r="G144" s="21" t="str">
        <x:v>2026-08-14T07:32:49.179</x:v>
      </x:c>
      <x:c r="H144" s="36" t="n">
        <x:v>2260.77</x:v>
      </x:c>
      <x:c r="I144" s="36" t="n">
        <x:f>H144/1000</x:f>
        <x:v>2.26077</x:v>
      </x:c>
      <x:c r="J144" s="21" t="str">
        <x:v>dsv_modify_0814/dsv4_3_recipe_ds.jsonl</x:v>
      </x:c>
      <x:c r="K144" s="21" t="n">
        <x:v>40</x:v>
      </x:c>
      <x:c r="L144" s="21" t="str">
        <x:v>processed精确文本</x:v>
      </x:c>
    </x:row>
    <x:row r="145">
      <x:c r="A145" s="38" t="n">
        <x:v>21</x:v>
      </x:c>
      <x:c r="B145" s="23" t="str">
        <x:v>帮我查一下 CBN-福州仓山-永南路与站后路交叉口C-HRHH-515 小区的方位角和机械下倾角。</x:v>
      </x:c>
      <x:c r="C145" s="23" t="str">
        <x:v>查询 CBN-福州仓山-永南路与站后路交叉口C-HRHH-515 小区的方位角和机械下倾角</x:v>
      </x:c>
      <x:c r="D145" s="23" t="str">
        <x:v>Recipe - Qwen执行</x:v>
      </x:c>
      <x:c r="E145" s="23" t="str">
        <x:v>同一问题第1次Qwen调用</x:v>
      </x:c>
      <x:c r="F145" s="21" t="n">
        <x:v>1</x:v>
      </x:c>
      <x:c r="G145" s="21" t="str">
        <x:v>2026-08-14T07:32:51.782</x:v>
      </x:c>
      <x:c r="H145" s="36" t="n">
        <x:v>2925.675</x:v>
      </x:c>
      <x:c r="I145" s="36" t="n">
        <x:f>H145/1000</x:f>
        <x:v>2.925675</x:v>
      </x:c>
      <x:c r="J145" s="21" t="str">
        <x:v>dsv_modify_0814/qwen_3.jsonl</x:v>
      </x:c>
      <x:c r="K145" s="21" t="n">
        <x:v>43</x:v>
      </x:c>
      <x:c r="L145" s="21" t="str">
        <x:v>processed精确文本</x:v>
      </x:c>
    </x:row>
    <x:row r="146">
      <x:c r="A146" s="38" t="n">
        <x:v>21</x:v>
      </x:c>
      <x:c r="B146" s="23" t="str">
        <x:v>帮我查一下 CBN-福州仓山-永南路与站后路交叉口C-HRHH-515 小区的方位角和机械下倾角。</x:v>
      </x:c>
      <x:c r="C146" s="23" t="str">
        <x:v>查询 CBN-福州仓山-永南路与站后路交叉口C-HRHH-515 小区的方位角和机械下倾角</x:v>
      </x:c>
      <x:c r="D146" s="23" t="str">
        <x:v>Recipe - Qwen总结</x:v>
      </x:c>
      <x:c r="E146" s="23" t="str">
        <x:v>同一问题最后一次Qwen调用</x:v>
      </x:c>
      <x:c r="F146" s="21" t="n">
        <x:v>1</x:v>
      </x:c>
      <x:c r="G146" s="21" t="str">
        <x:v>2026-08-14T07:32:55.196</x:v>
      </x:c>
      <x:c r="H146" s="36" t="n">
        <x:v>1751.861</x:v>
      </x:c>
      <x:c r="I146" s="36" t="n">
        <x:f>H146/1000</x:f>
        <x:v>1.7518610000000001</x:v>
      </x:c>
      <x:c r="J146" s="21" t="str">
        <x:v>dsv_modify_0814/qwen_3.jsonl</x:v>
      </x:c>
      <x:c r="K146" s="21" t="n">
        <x:v>44</x:v>
      </x:c>
      <x:c r="L146" s="21" t="str">
        <x:v>processed精确文本</x:v>
      </x:c>
    </x:row>
    <x:row r="147">
      <x:c r="A147" s="38" t="n">
        <x:v>21</x:v>
      </x:c>
      <x:c r="B147" s="23" t="str">
        <x:v>帮我查一下 CBN-福州仓山-永南路与站后路交叉口C-HRHH-515 小区的方位角和机械下倾角。</x:v>
      </x:c>
      <x:c r="C147" s="23" t="str">
        <x:v>查询 CBN-福州仓山-永南路与站后路交叉口C-HRHH-515 小区的方位角和机械下倾角</x:v>
      </x:c>
      <x:c r="D147" s="23" t="str">
        <x:v>AICO总结</x:v>
      </x:c>
      <x:c r="E147" s="23" t="str">
        <x:v>无tool_calls</x:v>
      </x:c>
      <x:c r="F147" s="21" t="n">
        <x:v>1</x:v>
      </x:c>
      <x:c r="G147" s="21" t="str">
        <x:v>2026-08-14T07:32:57.199</x:v>
      </x:c>
      <x:c r="H147" s="36" t="n">
        <x:v>2555.038</x:v>
      </x:c>
      <x:c r="I147" s="36" t="n">
        <x:f>H147/1000</x:f>
        <x:v>2.555038</x:v>
      </x:c>
      <x:c r="J147" s="21" t="str">
        <x:v>dsv_modify_0814/dsv4_3_aico.jsonl</x:v>
      </x:c>
      <x:c r="K147" s="21" t="n">
        <x:v>62</x:v>
      </x:c>
      <x:c r="L147" s="21" t="str">
        <x:v>original精确文本</x:v>
      </x:c>
    </x:row>
    <x:row r="148">
      <x:c r="A148" s="38" t="n">
        <x:v>21</x:v>
      </x:c>
      <x:c r="B148" s="23" t="str">
        <x:v>帮我查一下 CBN-福州仓山-永南路与站后路交叉口C-HRHH-515 小区的方位角和机械下倾角。</x:v>
      </x:c>
      <x:c r="C148" s="23" t="str">
        <x:v>查询 CBN-福州仓山-永南路与站后路交叉口C-HRHH-515 小区的方位角和机械下倾角</x:v>
      </x:c>
      <x:c r="D148" s="23" t="str">
        <x:v>问题推荐</x:v>
      </x:c>
      <x:c r="E148" s="23" t="str">
        <x:v>后续问题推荐</x:v>
      </x:c>
      <x:c r="F148" s="21" t="n">
        <x:v>1</x:v>
      </x:c>
      <x:c r="G148" s="21" t="str">
        <x:v>2026-08-14T07:33:00.026</x:v>
      </x:c>
      <x:c r="H148" s="36" t="n">
        <x:v>2850.848</x:v>
      </x:c>
      <x:c r="I148" s="36" t="n">
        <x:f>H148/1000</x:f>
        <x:v>2.850848</x:v>
      </x:c>
      <x:c r="J148" s="21" t="str">
        <x:v>dsv_modify_0814/dsv4_3_recipe_ds.jsonl</x:v>
      </x:c>
      <x:c r="K148" s="21" t="n">
        <x:v>41</x:v>
      </x:c>
      <x:c r="L148" s="21" t="str">
        <x:v>original精确文本</x:v>
      </x:c>
    </x:row>
    <x:row r="149">
      <x:c r="A149" s="38" t="n">
        <x:v>22</x:v>
      </x:c>
      <x:c r="B149" s="23" t="str">
        <x:v>看一下深圳大梅沙D-HRH 站点下小区的经度和纬度。</x:v>
      </x:c>
      <x:c r="C149" s="23" t="str">
        <x:v>查询深圳大梅沙D-HRH站点下小区的经度和纬度</x:v>
      </x:c>
      <x:c r="D149" s="23" t="str">
        <x:v>AICO Tool Call - Skill</x:v>
      </x:c>
      <x:c r="E149" s="23" t="str">
        <x:v>Skill</x:v>
      </x:c>
      <x:c r="F149" s="21" t="n">
        <x:v>1</x:v>
      </x:c>
      <x:c r="G149" s="21" t="str">
        <x:v>2026-08-14T07:33:00.901</x:v>
      </x:c>
      <x:c r="H149" s="36" t="n">
        <x:v>2941.345</x:v>
      </x:c>
      <x:c r="I149" s="36" t="n">
        <x:f>H149/1000</x:f>
        <x:v>2.9413449999999997</x:v>
      </x:c>
      <x:c r="J149" s="21" t="str">
        <x:v>dsv_modify_0814/dsv4_3_aico.jsonl</x:v>
      </x:c>
      <x:c r="K149" s="21" t="n">
        <x:v>63</x:v>
      </x:c>
      <x:c r="L149" s="21" t="str">
        <x:v>original精确文本</x:v>
      </x:c>
    </x:row>
    <x:row r="150">
      <x:c r="A150" s="38" t="n">
        <x:v>22</x:v>
      </x:c>
      <x:c r="B150" s="23" t="str">
        <x:v>看一下深圳大梅沙D-HRH 站点下小区的经度和纬度。</x:v>
      </x:c>
      <x:c r="C150" s="23" t="str">
        <x:v>查询深圳大梅沙D-HRH站点下小区的经度和纬度</x:v>
      </x:c>
      <x:c r="D150" s="23" t="str">
        <x:v>AICO Tool Call - Workflow</x:v>
      </x:c>
      <x:c r="E150" s="23" t="str">
        <x:v>Workflow</x:v>
      </x:c>
      <x:c r="F150" s="21" t="n">
        <x:v>1</x:v>
      </x:c>
      <x:c r="G150" s="21" t="str">
        <x:v>2026-08-14T07:33:03.996</x:v>
      </x:c>
      <x:c r="H150" s="36" t="n">
        <x:v>2213.852</x:v>
      </x:c>
      <x:c r="I150" s="36" t="n">
        <x:f>H150/1000</x:f>
        <x:v>2.2138519999999997</x:v>
      </x:c>
      <x:c r="J150" s="21" t="str">
        <x:v>dsv_modify_0814/dsv4_3_aico.jsonl</x:v>
      </x:c>
      <x:c r="K150" s="21" t="n">
        <x:v>64</x:v>
      </x:c>
      <x:c r="L150" s="21" t="str">
        <x:v>original精确文本</x:v>
      </x:c>
    </x:row>
    <x:row r="151">
      <x:c r="A151" s="38" t="n">
        <x:v>22</x:v>
      </x:c>
      <x:c r="B151" s="23" t="str">
        <x:v>看一下深圳大梅沙D-HRH 站点下小区的经度和纬度。</x:v>
      </x:c>
      <x:c r="C151" s="23" t="str">
        <x:v>查询深圳大梅沙D-HRH站点下小区的经度和纬度</x:v>
      </x:c>
      <x:c r="D151" s="23" t="str">
        <x:v>Recipe - DeepSeek</x:v>
      </x:c>
      <x:c r="E151" s="23" t="str">
        <x:v>DeepSeek recipe调用</x:v>
      </x:c>
      <x:c r="F151" s="21" t="n">
        <x:v>1</x:v>
      </x:c>
      <x:c r="G151" s="21" t="str">
        <x:v>2026-08-14T07:33:07.328</x:v>
      </x:c>
      <x:c r="H151" s="36" t="n">
        <x:v>1460.126</x:v>
      </x:c>
      <x:c r="I151" s="36" t="n">
        <x:f>H151/1000</x:f>
        <x:v>1.460126</x:v>
      </x:c>
      <x:c r="J151" s="21" t="str">
        <x:v>dsv_modify_0814/dsv4_3_recipe_ds.jsonl</x:v>
      </x:c>
      <x:c r="K151" s="21" t="n">
        <x:v>42</x:v>
      </x:c>
      <x:c r="L151" s="21" t="str">
        <x:v>processed精确文本</x:v>
      </x:c>
    </x:row>
    <x:row r="152">
      <x:c r="A152" s="38" t="n">
        <x:v>22</x:v>
      </x:c>
      <x:c r="B152" s="23" t="str">
        <x:v>看一下深圳大梅沙D-HRH 站点下小区的经度和纬度。</x:v>
      </x:c>
      <x:c r="C152" s="23" t="str">
        <x:v>查询深圳大梅沙D-HRH站点下小区的经度和纬度</x:v>
      </x:c>
      <x:c r="D152" s="23" t="str">
        <x:v>Recipe - Qwen执行</x:v>
      </x:c>
      <x:c r="E152" s="23" t="str">
        <x:v>同一问题第1次Qwen调用</x:v>
      </x:c>
      <x:c r="F152" s="21" t="n">
        <x:v>1</x:v>
      </x:c>
      <x:c r="G152" s="21" t="str">
        <x:v>2026-08-14T07:33:09.145</x:v>
      </x:c>
      <x:c r="H152" s="36" t="n">
        <x:v>1494.006</x:v>
      </x:c>
      <x:c r="I152" s="36" t="n">
        <x:f>H152/1000</x:f>
        <x:v>1.4940060000000002</x:v>
      </x:c>
      <x:c r="J152" s="21" t="str">
        <x:v>dsv_modify_0814/qwen_3.jsonl</x:v>
      </x:c>
      <x:c r="K152" s="21" t="n">
        <x:v>45</x:v>
      </x:c>
      <x:c r="L152" s="21" t="str">
        <x:v>processed精确文本</x:v>
      </x:c>
    </x:row>
    <x:row r="153">
      <x:c r="A153" s="38" t="n">
        <x:v>22</x:v>
      </x:c>
      <x:c r="B153" s="23" t="str">
        <x:v>看一下深圳大梅沙D-HRH 站点下小区的经度和纬度。</x:v>
      </x:c>
      <x:c r="C153" s="23" t="str">
        <x:v>查询深圳大梅沙D-HRH站点下小区的经度和纬度</x:v>
      </x:c>
      <x:c r="D153" s="23" t="str">
        <x:v>Recipe - Qwen总结</x:v>
      </x:c>
      <x:c r="E153" s="23" t="str">
        <x:v>同一问题最后一次Qwen调用</x:v>
      </x:c>
      <x:c r="F153" s="21" t="n">
        <x:v>1</x:v>
      </x:c>
      <x:c r="G153" s="21" t="str">
        <x:v>2026-08-14T07:33:11.125</x:v>
      </x:c>
      <x:c r="H153" s="36" t="n">
        <x:v>1430.925</x:v>
      </x:c>
      <x:c r="I153" s="36" t="n">
        <x:f>H153/1000</x:f>
        <x:v>1.430925</x:v>
      </x:c>
      <x:c r="J153" s="21" t="str">
        <x:v>dsv_modify_0814/qwen_3.jsonl</x:v>
      </x:c>
      <x:c r="K153" s="21" t="n">
        <x:v>46</x:v>
      </x:c>
      <x:c r="L153" s="21" t="str">
        <x:v>processed精确文本</x:v>
      </x:c>
    </x:row>
    <x:row r="154">
      <x:c r="A154" s="38" t="n">
        <x:v>22</x:v>
      </x:c>
      <x:c r="B154" s="23" t="str">
        <x:v>看一下深圳大梅沙D-HRH 站点下小区的经度和纬度。</x:v>
      </x:c>
      <x:c r="C154" s="23" t="str">
        <x:v>查询深圳大梅沙D-HRH站点下小区的经度和纬度</x:v>
      </x:c>
      <x:c r="D154" s="23" t="str">
        <x:v>AICO总结</x:v>
      </x:c>
      <x:c r="E154" s="23" t="str">
        <x:v>无tool_calls</x:v>
      </x:c>
      <x:c r="F154" s="21" t="n">
        <x:v>1</x:v>
      </x:c>
      <x:c r="G154" s="21" t="str">
        <x:v>2026-08-14T07:33:12.818</x:v>
      </x:c>
      <x:c r="H154" s="36" t="n">
        <x:v>2280.464</x:v>
      </x:c>
      <x:c r="I154" s="36" t="n">
        <x:f>H154/1000</x:f>
        <x:v>2.280464</x:v>
      </x:c>
      <x:c r="J154" s="21" t="str">
        <x:v>dsv_modify_0814/dsv4_3_aico.jsonl</x:v>
      </x:c>
      <x:c r="K154" s="21" t="n">
        <x:v>65</x:v>
      </x:c>
      <x:c r="L154" s="21" t="str">
        <x:v>original精确文本</x:v>
      </x:c>
    </x:row>
    <x:row r="155">
      <x:c r="A155" s="38" t="n">
        <x:v>22</x:v>
      </x:c>
      <x:c r="B155" s="23" t="str">
        <x:v>看一下深圳大梅沙D-HRH 站点下小区的经度和纬度。</x:v>
      </x:c>
      <x:c r="C155" s="23" t="str">
        <x:v>查询深圳大梅沙D-HRH站点下小区的经度和纬度</x:v>
      </x:c>
      <x:c r="D155" s="23" t="str">
        <x:v>问题推荐</x:v>
      </x:c>
      <x:c r="E155" s="23" t="str">
        <x:v>后续问题推荐</x:v>
      </x:c>
      <x:c r="F155" s="21" t="n">
        <x:v>1</x:v>
      </x:c>
      <x:c r="G155" s="21" t="str">
        <x:v>2026-08-14T07:33:15.383</x:v>
      </x:c>
      <x:c r="H155" s="36" t="n">
        <x:v>3504.445</x:v>
      </x:c>
      <x:c r="I155" s="36" t="n">
        <x:f>H155/1000</x:f>
        <x:v>3.504445</x:v>
      </x:c>
      <x:c r="J155" s="21" t="str">
        <x:v>dsv_modify_0814/dsv4_3_recipe_ds.jsonl</x:v>
      </x:c>
      <x:c r="K155" s="21" t="n">
        <x:v>43</x:v>
      </x:c>
      <x:c r="L155" s="21" t="str">
        <x:v>original精确文本</x:v>
      </x:c>
    </x:row>
    <x:row r="156">
      <x:c r="A156" s="38" t="n">
        <x:v>23</x:v>
      </x:c>
      <x:c r="B156" s="23" t="str">
        <x:v>确认一下 CBN-深圳东华风车U-H5H-0711 小区的基站标识和小区名称。</x:v>
      </x:c>
      <x:c r="C156" s="23" t="str">
        <x:v>确认 CBN-深圳东华风车U-H5H-0711 小区的基站标识和小区名称</x:v>
      </x:c>
      <x:c r="D156" s="23" t="str">
        <x:v>AICO Tool Call - Skill</x:v>
      </x:c>
      <x:c r="E156" s="23" t="str">
        <x:v>Skill</x:v>
      </x:c>
      <x:c r="F156" s="21" t="n">
        <x:v>1</x:v>
      </x:c>
      <x:c r="G156" s="21" t="str">
        <x:v>2026-08-14T07:33:16.273</x:v>
      </x:c>
      <x:c r="H156" s="36" t="n">
        <x:v>2431.441</x:v>
      </x:c>
      <x:c r="I156" s="36" t="n">
        <x:f>H156/1000</x:f>
        <x:v>2.431441</x:v>
      </x:c>
      <x:c r="J156" s="21" t="str">
        <x:v>dsv_modify_0814/dsv4_3_aico.jsonl</x:v>
      </x:c>
      <x:c r="K156" s="21" t="n">
        <x:v>66</x:v>
      </x:c>
      <x:c r="L156" s="21" t="str">
        <x:v>original精确文本</x:v>
      </x:c>
    </x:row>
    <x:row r="157">
      <x:c r="A157" s="38" t="n">
        <x:v>23</x:v>
      </x:c>
      <x:c r="B157" s="23" t="str">
        <x:v>确认一下 CBN-深圳东华风车U-H5H-0711 小区的基站标识和小区名称。</x:v>
      </x:c>
      <x:c r="C157" s="23" t="str">
        <x:v>确认 CBN-深圳东华风车U-H5H-0711 小区的基站标识和小区名称</x:v>
      </x:c>
      <x:c r="D157" s="23" t="str">
        <x:v>AICO Tool Call - Workflow</x:v>
      </x:c>
      <x:c r="E157" s="23" t="str">
        <x:v>Workflow</x:v>
      </x:c>
      <x:c r="F157" s="21" t="n">
        <x:v>1</x:v>
      </x:c>
      <x:c r="G157" s="21" t="str">
        <x:v>2026-08-14T07:33:18.862</x:v>
      </x:c>
      <x:c r="H157" s="36" t="n">
        <x:v>2305.338</x:v>
      </x:c>
      <x:c r="I157" s="36" t="n">
        <x:f>H157/1000</x:f>
        <x:v>2.3053380000000003</x:v>
      </x:c>
      <x:c r="J157" s="21" t="str">
        <x:v>dsv_modify_0814/dsv4_3_aico.jsonl</x:v>
      </x:c>
      <x:c r="K157" s="21" t="n">
        <x:v>67</x:v>
      </x:c>
      <x:c r="L157" s="21" t="str">
        <x:v>original精确文本</x:v>
      </x:c>
    </x:row>
    <x:row r="158">
      <x:c r="A158" s="38" t="n">
        <x:v>23</x:v>
      </x:c>
      <x:c r="B158" s="23" t="str">
        <x:v>确认一下 CBN-深圳东华风车U-H5H-0711 小区的基站标识和小区名称。</x:v>
      </x:c>
      <x:c r="C158" s="23" t="str">
        <x:v>确认 CBN-深圳东华风车U-H5H-0711 小区的基站标识和小区名称</x:v>
      </x:c>
      <x:c r="D158" s="23" t="str">
        <x:v>Recipe - DeepSeek</x:v>
      </x:c>
      <x:c r="E158" s="23" t="str">
        <x:v>DeepSeek recipe调用</x:v>
      </x:c>
      <x:c r="F158" s="21" t="n">
        <x:v>1</x:v>
      </x:c>
      <x:c r="G158" s="21" t="str">
        <x:v>2026-08-14T07:33:22.287</x:v>
      </x:c>
      <x:c r="H158" s="36" t="n">
        <x:v>1485.599</x:v>
      </x:c>
      <x:c r="I158" s="36" t="n">
        <x:f>H158/1000</x:f>
        <x:v>1.485599</x:v>
      </x:c>
      <x:c r="J158" s="21" t="str">
        <x:v>dsv_modify_0814/dsv4_3_recipe_ds.jsonl</x:v>
      </x:c>
      <x:c r="K158" s="21" t="n">
        <x:v>44</x:v>
      </x:c>
      <x:c r="L158" s="21" t="str">
        <x:v>processed精确文本</x:v>
      </x:c>
    </x:row>
    <x:row r="159">
      <x:c r="A159" s="38" t="n">
        <x:v>23</x:v>
      </x:c>
      <x:c r="B159" s="23" t="str">
        <x:v>确认一下 CBN-深圳东华风车U-H5H-0711 小区的基站标识和小区名称。</x:v>
      </x:c>
      <x:c r="C159" s="23" t="str">
        <x:v>确认 CBN-深圳东华风车U-H5H-0711 小区的基站标识和小区名称</x:v>
      </x:c>
      <x:c r="D159" s="23" t="str">
        <x:v>Recipe - Qwen执行</x:v>
      </x:c>
      <x:c r="E159" s="23" t="str">
        <x:v>同一问题第1次Qwen调用</x:v>
      </x:c>
      <x:c r="F159" s="21" t="n">
        <x:v>1</x:v>
      </x:c>
      <x:c r="G159" s="21" t="str">
        <x:v>2026-08-14T07:33:24.092</x:v>
      </x:c>
      <x:c r="H159" s="36" t="n">
        <x:v>1578.006</x:v>
      </x:c>
      <x:c r="I159" s="36" t="n">
        <x:f>H159/1000</x:f>
        <x:v>1.578006</x:v>
      </x:c>
      <x:c r="J159" s="21" t="str">
        <x:v>dsv_modify_0814/qwen_3.jsonl</x:v>
      </x:c>
      <x:c r="K159" s="21" t="n">
        <x:v>47</x:v>
      </x:c>
      <x:c r="L159" s="21" t="str">
        <x:v>processed精确文本</x:v>
      </x:c>
    </x:row>
    <x:row r="160">
      <x:c r="A160" s="38" t="n">
        <x:v>23</x:v>
      </x:c>
      <x:c r="B160" s="23" t="str">
        <x:v>确认一下 CBN-深圳东华风车U-H5H-0711 小区的基站标识和小区名称。</x:v>
      </x:c>
      <x:c r="C160" s="23" t="str">
        <x:v>确认 CBN-深圳东华风车U-H5H-0711 小区的基站标识和小区名称</x:v>
      </x:c>
      <x:c r="D160" s="23" t="str">
        <x:v>Recipe - Qwen总结</x:v>
      </x:c>
      <x:c r="E160" s="23" t="str">
        <x:v>同一问题最后一次Qwen调用</x:v>
      </x:c>
      <x:c r="F160" s="21" t="n">
        <x:v>1</x:v>
      </x:c>
      <x:c r="G160" s="21" t="str">
        <x:v>2026-08-14T07:33:26.154</x:v>
      </x:c>
      <x:c r="H160" s="36" t="n">
        <x:v>1600.797</x:v>
      </x:c>
      <x:c r="I160" s="36" t="n">
        <x:f>H160/1000</x:f>
        <x:v>1.600797</x:v>
      </x:c>
      <x:c r="J160" s="21" t="str">
        <x:v>dsv_modify_0814/qwen_3.jsonl</x:v>
      </x:c>
      <x:c r="K160" s="21" t="n">
        <x:v>48</x:v>
      </x:c>
      <x:c r="L160" s="21" t="str">
        <x:v>processed精确文本</x:v>
      </x:c>
    </x:row>
    <x:row r="161">
      <x:c r="A161" s="38" t="n">
        <x:v>23</x:v>
      </x:c>
      <x:c r="B161" s="23" t="str">
        <x:v>确认一下 CBN-深圳东华风车U-H5H-0711 小区的基站标识和小区名称。</x:v>
      </x:c>
      <x:c r="C161" s="23" t="str">
        <x:v>确认 CBN-深圳东华风车U-H5H-0711 小区的基站标识和小区名称</x:v>
      </x:c>
      <x:c r="D161" s="23" t="str">
        <x:v>AICO总结</x:v>
      </x:c>
      <x:c r="E161" s="23" t="str">
        <x:v>无tool_calls</x:v>
      </x:c>
      <x:c r="F161" s="21" t="n">
        <x:v>1</x:v>
      </x:c>
      <x:c r="G161" s="21" t="str">
        <x:v>2026-08-14T07:33:28.001</x:v>
      </x:c>
      <x:c r="H161" s="36" t="n">
        <x:v>2509.014</x:v>
      </x:c>
      <x:c r="I161" s="36" t="n">
        <x:f>H161/1000</x:f>
        <x:v>2.509014</x:v>
      </x:c>
      <x:c r="J161" s="21" t="str">
        <x:v>dsv_modify_0814/dsv4_3_aico.jsonl</x:v>
      </x:c>
      <x:c r="K161" s="21" t="n">
        <x:v>68</x:v>
      </x:c>
      <x:c r="L161" s="21" t="str">
        <x:v>original精确文本</x:v>
      </x:c>
    </x:row>
    <x:row r="162">
      <x:c r="A162" s="38" t="n">
        <x:v>23</x:v>
      </x:c>
      <x:c r="B162" s="23" t="str">
        <x:v>确认一下 CBN-深圳东华风车U-H5H-0711 小区的基站标识和小区名称。</x:v>
      </x:c>
      <x:c r="C162" s="23" t="str">
        <x:v>确认 CBN-深圳东华风车U-H5H-0711 小区的基站标识和小区名称</x:v>
      </x:c>
      <x:c r="D162" s="23" t="str">
        <x:v>问题推荐</x:v>
      </x:c>
      <x:c r="E162" s="23" t="str">
        <x:v>后续问题推荐</x:v>
      </x:c>
      <x:c r="F162" s="21" t="n">
        <x:v>1</x:v>
      </x:c>
      <x:c r="G162" s="21" t="str">
        <x:v>2026-08-14T07:33:30.789</x:v>
      </x:c>
      <x:c r="H162" s="36" t="n">
        <x:v>2683.102</x:v>
      </x:c>
      <x:c r="I162" s="36" t="n">
        <x:f>H162/1000</x:f>
        <x:v>2.683102</x:v>
      </x:c>
      <x:c r="J162" s="21" t="str">
        <x:v>dsv_modify_0814/dsv4_3_recipe_ds.jsonl</x:v>
      </x:c>
      <x:c r="K162" s="21" t="n">
        <x:v>45</x:v>
      </x:c>
      <x:c r="L162" s="21" t="str">
        <x:v>original精确文本</x:v>
      </x:c>
    </x:row>
    <x:row r="163">
      <x:c r="A163" s="38" t="n">
        <x:v>24</x:v>
      </x:c>
      <x:c r="B163" s="23" t="str">
        <x:v>找出 CBN-福州晋安-福厦高铁鼓山鼓一隧道C-HRRH-513 小区的方向角。</x:v>
      </x:c>
      <x:c r="C163" s="23" t="str">
        <x:v>找出 CBN-福州晋安-福厦高铁鼓山鼓一隧道C-HRRH-513 小区的方向角。</x:v>
      </x:c>
      <x:c r="D163" s="23" t="str">
        <x:v>AICO Tool Call - Skill</x:v>
      </x:c>
      <x:c r="E163" s="23" t="str">
        <x:v>Skill</x:v>
      </x:c>
      <x:c r="F163" s="21" t="n">
        <x:v>1</x:v>
      </x:c>
      <x:c r="G163" s="21" t="str">
        <x:v>2026-08-14T07:33:31.654</x:v>
      </x:c>
      <x:c r="H163" s="36" t="n">
        <x:v>2461.764</x:v>
      </x:c>
      <x:c r="I163" s="36" t="n">
        <x:f>H163/1000</x:f>
        <x:v>2.461764</x:v>
      </x:c>
      <x:c r="J163" s="21" t="str">
        <x:v>dsv_modify_0814/dsv4_3_aico.jsonl</x:v>
      </x:c>
      <x:c r="K163" s="21" t="n">
        <x:v>69</x:v>
      </x:c>
      <x:c r="L163" s="21" t="str">
        <x:v>original精确文本</x:v>
      </x:c>
    </x:row>
    <x:row r="164">
      <x:c r="A164" s="38" t="n">
        <x:v>24</x:v>
      </x:c>
      <x:c r="B164" s="23" t="str">
        <x:v>找出 CBN-福州晋安-福厦高铁鼓山鼓一隧道C-HRRH-513 小区的方向角。</x:v>
      </x:c>
      <x:c r="C164" s="23" t="str">
        <x:v>找出 CBN-福州晋安-福厦高铁鼓山鼓一隧道C-HRRH-513 小区的方向角。</x:v>
      </x:c>
      <x:c r="D164" s="23" t="str">
        <x:v>AICO Tool Call - Workflow</x:v>
      </x:c>
      <x:c r="E164" s="23" t="str">
        <x:v>Workflow</x:v>
      </x:c>
      <x:c r="F164" s="21" t="n">
        <x:v>1</x:v>
      </x:c>
      <x:c r="G164" s="21" t="str">
        <x:v>2026-08-14T07:33:34.263</x:v>
      </x:c>
      <x:c r="H164" s="36" t="n">
        <x:v>2365.511</x:v>
      </x:c>
      <x:c r="I164" s="36" t="n">
        <x:f>H164/1000</x:f>
        <x:v>2.365511</x:v>
      </x:c>
      <x:c r="J164" s="21" t="str">
        <x:v>dsv_modify_0814/dsv4_3_aico.jsonl</x:v>
      </x:c>
      <x:c r="K164" s="21" t="n">
        <x:v>70</x:v>
      </x:c>
      <x:c r="L164" s="21" t="str">
        <x:v>original精确文本</x:v>
      </x:c>
    </x:row>
    <x:row r="165">
      <x:c r="A165" s="38" t="n">
        <x:v>24</x:v>
      </x:c>
      <x:c r="B165" s="23" t="str">
        <x:v>找出 CBN-福州晋安-福厦高铁鼓山鼓一隧道C-HRRH-513 小区的方向角。</x:v>
      </x:c>
      <x:c r="C165" s="23" t="str">
        <x:v>找出 CBN-福州晋安-福厦高铁鼓山鼓一隧道C-HRRH-513 小区的方向角。</x:v>
      </x:c>
      <x:c r="D165" s="23" t="str">
        <x:v>Recipe - DeepSeek</x:v>
      </x:c>
      <x:c r="E165" s="23" t="str">
        <x:v>DeepSeek recipe调用</x:v>
      </x:c>
      <x:c r="F165" s="21" t="n">
        <x:v>1</x:v>
      </x:c>
      <x:c r="G165" s="21" t="str">
        <x:v>2026-08-14T07:33:37.818</x:v>
      </x:c>
      <x:c r="H165" s="36" t="n">
        <x:v>1654.733</x:v>
      </x:c>
      <x:c r="I165" s="36" t="n">
        <x:f>H165/1000</x:f>
        <x:v>1.654733</x:v>
      </x:c>
      <x:c r="J165" s="21" t="str">
        <x:v>dsv_modify_0814/dsv4_3_recipe_ds.jsonl</x:v>
      </x:c>
      <x:c r="K165" s="21" t="n">
        <x:v>46</x:v>
      </x:c>
      <x:c r="L165" s="21" t="str">
        <x:v>processed精确文本</x:v>
      </x:c>
    </x:row>
    <x:row r="166">
      <x:c r="A166" s="38" t="n">
        <x:v>24</x:v>
      </x:c>
      <x:c r="B166" s="23" t="str">
        <x:v>找出 CBN-福州晋安-福厦高铁鼓山鼓一隧道C-HRRH-513 小区的方向角。</x:v>
      </x:c>
      <x:c r="C166" s="23" t="str">
        <x:v>找出 CBN-福州晋安-福厦高铁鼓山鼓一隧道C-HRRH-513 小区的方向角。</x:v>
      </x:c>
      <x:c r="D166" s="23" t="str">
        <x:v>Recipe - Qwen执行</x:v>
      </x:c>
      <x:c r="E166" s="23" t="str">
        <x:v>同一问题第1次Qwen调用</x:v>
      </x:c>
      <x:c r="F166" s="21" t="n">
        <x:v>1</x:v>
      </x:c>
      <x:c r="G166" s="21" t="str">
        <x:v>2026-08-14T07:33:39.816</x:v>
      </x:c>
      <x:c r="H166" s="36" t="n">
        <x:v>1608.982</x:v>
      </x:c>
      <x:c r="I166" s="36" t="n">
        <x:f>H166/1000</x:f>
        <x:v>1.608982</x:v>
      </x:c>
      <x:c r="J166" s="21" t="str">
        <x:v>dsv_modify_0814/qwen_3.jsonl</x:v>
      </x:c>
      <x:c r="K166" s="21" t="n">
        <x:v>49</x:v>
      </x:c>
      <x:c r="L166" s="21" t="str">
        <x:v>processed精确文本</x:v>
      </x:c>
    </x:row>
    <x:row r="167">
      <x:c r="A167" s="38" t="n">
        <x:v>24</x:v>
      </x:c>
      <x:c r="B167" s="23" t="str">
        <x:v>找出 CBN-福州晋安-福厦高铁鼓山鼓一隧道C-HRRH-513 小区的方向角。</x:v>
      </x:c>
      <x:c r="C167" s="23" t="str">
        <x:v>找出 CBN-福州晋安-福厦高铁鼓山鼓一隧道C-HRRH-513 小区的方向角。</x:v>
      </x:c>
      <x:c r="D167" s="23" t="str">
        <x:v>Recipe - Qwen总结</x:v>
      </x:c>
      <x:c r="E167" s="23" t="str">
        <x:v>同一问题最后一次Qwen调用</x:v>
      </x:c>
      <x:c r="F167" s="21" t="n">
        <x:v>1</x:v>
      </x:c>
      <x:c r="G167" s="21" t="str">
        <x:v>2026-08-14T07:33:41.939</x:v>
      </x:c>
      <x:c r="H167" s="36" t="n">
        <x:v>1406.402</x:v>
      </x:c>
      <x:c r="I167" s="36" t="n">
        <x:f>H167/1000</x:f>
        <x:v>1.4064020000000002</x:v>
      </x:c>
      <x:c r="J167" s="21" t="str">
        <x:v>dsv_modify_0814/qwen_3.jsonl</x:v>
      </x:c>
      <x:c r="K167" s="21" t="n">
        <x:v>50</x:v>
      </x:c>
      <x:c r="L167" s="21" t="str">
        <x:v>processed精确文本</x:v>
      </x:c>
    </x:row>
    <x:row r="168">
      <x:c r="A168" s="38" t="n">
        <x:v>24</x:v>
      </x:c>
      <x:c r="B168" s="23" t="str">
        <x:v>找出 CBN-福州晋安-福厦高铁鼓山鼓一隧道C-HRRH-513 小区的方向角。</x:v>
      </x:c>
      <x:c r="C168" s="23" t="str">
        <x:v>找出 CBN-福州晋安-福厦高铁鼓山鼓一隧道C-HRRH-513 小区的方向角。</x:v>
      </x:c>
      <x:c r="D168" s="23" t="str">
        <x:v>AICO总结</x:v>
      </x:c>
      <x:c r="E168" s="23" t="str">
        <x:v>无tool_calls</x:v>
      </x:c>
      <x:c r="F168" s="21" t="n">
        <x:v>1</x:v>
      </x:c>
      <x:c r="G168" s="21" t="str">
        <x:v>2026-08-14T07:33:43.596</x:v>
      </x:c>
      <x:c r="H168" s="36" t="n">
        <x:v>2382.748</x:v>
      </x:c>
      <x:c r="I168" s="36" t="n">
        <x:f>H168/1000</x:f>
        <x:v>2.382748</x:v>
      </x:c>
      <x:c r="J168" s="21" t="str">
        <x:v>dsv_modify_0814/dsv4_3_aico.jsonl</x:v>
      </x:c>
      <x:c r="K168" s="21" t="n">
        <x:v>71</x:v>
      </x:c>
      <x:c r="L168" s="21" t="str">
        <x:v>original精确文本</x:v>
      </x:c>
    </x:row>
    <x:row r="169">
      <x:c r="A169" s="38" t="n">
        <x:v>24</x:v>
      </x:c>
      <x:c r="B169" s="23" t="str">
        <x:v>找出 CBN-福州晋安-福厦高铁鼓山鼓一隧道C-HRRH-513 小区的方向角。</x:v>
      </x:c>
      <x:c r="C169" s="23" t="str">
        <x:v>找出 CBN-福州晋安-福厦高铁鼓山鼓一隧道C-HRRH-513 小区的方向角。</x:v>
      </x:c>
      <x:c r="D169" s="23" t="str">
        <x:v>问题推荐</x:v>
      </x:c>
      <x:c r="E169" s="23" t="str">
        <x:v>后续问题推荐</x:v>
      </x:c>
      <x:c r="F169" s="21" t="n">
        <x:v>1</x:v>
      </x:c>
      <x:c r="G169" s="21" t="str">
        <x:v>2026-08-14T07:33:46.249</x:v>
      </x:c>
      <x:c r="H169" s="36" t="n">
        <x:v>2907.231</x:v>
      </x:c>
      <x:c r="I169" s="36" t="n">
        <x:f>H169/1000</x:f>
        <x:v>2.9072310000000003</x:v>
      </x:c>
      <x:c r="J169" s="21" t="str">
        <x:v>dsv_modify_0814/dsv4_3_recipe_ds.jsonl</x:v>
      </x:c>
      <x:c r="K169" s="21" t="n">
        <x:v>47</x:v>
      </x:c>
      <x:c r="L169" s="21" t="str">
        <x:v>original精确文本</x:v>
      </x:c>
    </x:row>
    <x:row r="170">
      <x:c r="A170" s="38" t="n">
        <x:v>25</x:v>
      </x:c>
      <x:c r="B170" s="23" t="str">
        <x:v>帮我查 CBN-深圳梅沙湾U-H5H 站点下小区的站点名称、方位角和机械下倾角。</x:v>
      </x:c>
      <x:c r="C170" s="23" t="str">
        <x:v>查询CBN-深圳梅沙湾U-H5H站点下小区的站点名称、方位角和机械下倾角</x:v>
      </x:c>
      <x:c r="D170" s="23" t="str">
        <x:v>AICO Tool Call - Skill</x:v>
      </x:c>
      <x:c r="E170" s="23" t="str">
        <x:v>Skill</x:v>
      </x:c>
      <x:c r="F170" s="21" t="n">
        <x:v>1</x:v>
      </x:c>
      <x:c r="G170" s="21" t="str">
        <x:v>2026-08-14T07:33:47.144</x:v>
      </x:c>
      <x:c r="H170" s="36" t="n">
        <x:v>2576.051</x:v>
      </x:c>
      <x:c r="I170" s="36" t="n">
        <x:f>H170/1000</x:f>
        <x:v>2.576051</x:v>
      </x:c>
      <x:c r="J170" s="21" t="str">
        <x:v>dsv_modify_0814/dsv4_3_aico.jsonl</x:v>
      </x:c>
      <x:c r="K170" s="21" t="n">
        <x:v>72</x:v>
      </x:c>
      <x:c r="L170" s="21" t="str">
        <x:v>original精确文本</x:v>
      </x:c>
    </x:row>
    <x:row r="171">
      <x:c r="A171" s="38" t="n">
        <x:v>25</x:v>
      </x:c>
      <x:c r="B171" s="23" t="str">
        <x:v>帮我查 CBN-深圳梅沙湾U-H5H 站点下小区的站点名称、方位角和机械下倾角。</x:v>
      </x:c>
      <x:c r="C171" s="23" t="str">
        <x:v>查询CBN-深圳梅沙湾U-H5H站点下小区的站点名称、方位角和机械下倾角</x:v>
      </x:c>
      <x:c r="D171" s="23" t="str">
        <x:v>AICO Tool Call - Workflow</x:v>
      </x:c>
      <x:c r="E171" s="23" t="str">
        <x:v>Workflow</x:v>
      </x:c>
      <x:c r="F171" s="21" t="n">
        <x:v>1</x:v>
      </x:c>
      <x:c r="G171" s="21" t="str">
        <x:v>2026-08-14T07:33:49.869</x:v>
      </x:c>
      <x:c r="H171" s="36" t="n">
        <x:v>2515.461</x:v>
      </x:c>
      <x:c r="I171" s="36" t="n">
        <x:f>H171/1000</x:f>
        <x:v>2.5154609999999997</x:v>
      </x:c>
      <x:c r="J171" s="21" t="str">
        <x:v>dsv_modify_0814/dsv4_3_aico.jsonl</x:v>
      </x:c>
      <x:c r="K171" s="21" t="n">
        <x:v>73</x:v>
      </x:c>
      <x:c r="L171" s="21" t="str">
        <x:v>original精确文本</x:v>
      </x:c>
    </x:row>
    <x:row r="172">
      <x:c r="A172" s="38" t="n">
        <x:v>25</x:v>
      </x:c>
      <x:c r="B172" s="23" t="str">
        <x:v>帮我查 CBN-深圳梅沙湾U-H5H 站点下小区的站点名称、方位角和机械下倾角。</x:v>
      </x:c>
      <x:c r="C172" s="23" t="str">
        <x:v>查询CBN-深圳梅沙湾U-H5H站点下小区的站点名称、方位角和机械下倾角</x:v>
      </x:c>
      <x:c r="D172" s="23" t="str">
        <x:v>Recipe - DeepSeek</x:v>
      </x:c>
      <x:c r="E172" s="23" t="str">
        <x:v>DeepSeek recipe调用</x:v>
      </x:c>
      <x:c r="F172" s="21" t="n">
        <x:v>1</x:v>
      </x:c>
      <x:c r="G172" s="21" t="str">
        <x:v>2026-08-14T07:33:53.530</x:v>
      </x:c>
      <x:c r="H172" s="36" t="n">
        <x:v>1793.061</x:v>
      </x:c>
      <x:c r="I172" s="36" t="n">
        <x:f>H172/1000</x:f>
        <x:v>1.793061</x:v>
      </x:c>
      <x:c r="J172" s="21" t="str">
        <x:v>dsv_modify_0814/dsv4_3_recipe_ds.jsonl</x:v>
      </x:c>
      <x:c r="K172" s="21" t="n">
        <x:v>48</x:v>
      </x:c>
      <x:c r="L172" s="21" t="str">
        <x:v>processed精确文本</x:v>
      </x:c>
    </x:row>
    <x:row r="173">
      <x:c r="A173" s="38" t="n">
        <x:v>25</x:v>
      </x:c>
      <x:c r="B173" s="23" t="str">
        <x:v>帮我查 CBN-深圳梅沙湾U-H5H 站点下小区的站点名称、方位角和机械下倾角。</x:v>
      </x:c>
      <x:c r="C173" s="23" t="str">
        <x:v>查询CBN-深圳梅沙湾U-H5H站点下小区的站点名称、方位角和机械下倾角</x:v>
      </x:c>
      <x:c r="D173" s="23" t="str">
        <x:v>Recipe - Qwen执行</x:v>
      </x:c>
      <x:c r="E173" s="23" t="str">
        <x:v>同一问题第1次Qwen调用</x:v>
      </x:c>
      <x:c r="F173" s="21" t="n">
        <x:v>1</x:v>
      </x:c>
      <x:c r="G173" s="21" t="str">
        <x:v>2026-08-14T07:33:55.650</x:v>
      </x:c>
      <x:c r="H173" s="36" t="n">
        <x:v>1638.333</x:v>
      </x:c>
      <x:c r="I173" s="36" t="n">
        <x:f>H173/1000</x:f>
        <x:v>1.638333</x:v>
      </x:c>
      <x:c r="J173" s="21" t="str">
        <x:v>dsv_modify_0814/qwen_3.jsonl</x:v>
      </x:c>
      <x:c r="K173" s="21" t="n">
        <x:v>51</x:v>
      </x:c>
      <x:c r="L173" s="21" t="str">
        <x:v>processed精确文本</x:v>
      </x:c>
    </x:row>
    <x:row r="174">
      <x:c r="A174" s="38" t="n">
        <x:v>25</x:v>
      </x:c>
      <x:c r="B174" s="23" t="str">
        <x:v>帮我查 CBN-深圳梅沙湾U-H5H 站点下小区的站点名称、方位角和机械下倾角。</x:v>
      </x:c>
      <x:c r="C174" s="23" t="str">
        <x:v>查询CBN-深圳梅沙湾U-H5H站点下小区的站点名称、方位角和机械下倾角</x:v>
      </x:c>
      <x:c r="D174" s="23" t="str">
        <x:v>Recipe - Qwen总结</x:v>
      </x:c>
      <x:c r="E174" s="23" t="str">
        <x:v>同一问题最后一次Qwen调用</x:v>
      </x:c>
      <x:c r="F174" s="21" t="n">
        <x:v>1</x:v>
      </x:c>
      <x:c r="G174" s="21" t="str">
        <x:v>2026-08-14T07:33:57.800</x:v>
      </x:c>
      <x:c r="H174" s="36" t="n">
        <x:v>2773.014</x:v>
      </x:c>
      <x:c r="I174" s="36" t="n">
        <x:f>H174/1000</x:f>
        <x:v>2.7730140000000003</x:v>
      </x:c>
      <x:c r="J174" s="21" t="str">
        <x:v>dsv_modify_0814/qwen_3.jsonl</x:v>
      </x:c>
      <x:c r="K174" s="21" t="n">
        <x:v>52</x:v>
      </x:c>
      <x:c r="L174" s="21" t="str">
        <x:v>processed精确文本</x:v>
      </x:c>
    </x:row>
    <x:row r="175">
      <x:c r="A175" s="38" t="n">
        <x:v>25</x:v>
      </x:c>
      <x:c r="B175" s="23" t="str">
        <x:v>帮我查 CBN-深圳梅沙湾U-H5H 站点下小区的站点名称、方位角和机械下倾角。</x:v>
      </x:c>
      <x:c r="C175" s="23" t="str">
        <x:v>查询CBN-深圳梅沙湾U-H5H站点下小区的站点名称、方位角和机械下倾角</x:v>
      </x:c>
      <x:c r="D175" s="23" t="str">
        <x:v>AICO总结</x:v>
      </x:c>
      <x:c r="E175" s="23" t="str">
        <x:v>无tool_calls</x:v>
      </x:c>
      <x:c r="F175" s="21" t="n">
        <x:v>1</x:v>
      </x:c>
      <x:c r="G175" s="21" t="str">
        <x:v>2026-08-14T07:34:00.841</x:v>
      </x:c>
      <x:c r="H175" s="36" t="n">
        <x:v>3706.889</x:v>
      </x:c>
      <x:c r="I175" s="36" t="n">
        <x:f>H175/1000</x:f>
        <x:v>3.7068890000000003</x:v>
      </x:c>
      <x:c r="J175" s="21" t="str">
        <x:v>dsv_modify_0814/dsv4_3_aico.jsonl</x:v>
      </x:c>
      <x:c r="K175" s="21" t="n">
        <x:v>74</x:v>
      </x:c>
      <x:c r="L175" s="21" t="str">
        <x:v>original精确文本</x:v>
      </x:c>
    </x:row>
    <x:row r="176">
      <x:c r="A176" s="38" t="n">
        <x:v>25</x:v>
      </x:c>
      <x:c r="B176" s="23" t="str">
        <x:v>帮我查 CBN-深圳梅沙湾U-H5H 站点下小区的站点名称、方位角和机械下倾角。</x:v>
      </x:c>
      <x:c r="C176" s="23" t="str">
        <x:v>查询CBN-深圳梅沙湾U-H5H站点下小区的站点名称、方位角和机械下倾角</x:v>
      </x:c>
      <x:c r="D176" s="23" t="str">
        <x:v>问题推荐</x:v>
      </x:c>
      <x:c r="E176" s="23" t="str">
        <x:v>后续问题推荐</x:v>
      </x:c>
      <x:c r="F176" s="21" t="n">
        <x:v>1</x:v>
      </x:c>
      <x:c r="G176" s="21" t="str">
        <x:v>2026-08-14T07:34:05.058</x:v>
      </x:c>
      <x:c r="H176" s="36" t="n">
        <x:v>3125.273</x:v>
      </x:c>
      <x:c r="I176" s="36" t="n">
        <x:f>H176/1000</x:f>
        <x:v>3.125273</x:v>
      </x:c>
      <x:c r="J176" s="21" t="str">
        <x:v>dsv_modify_0814/dsv4_3_recipe_ds.jsonl</x:v>
      </x:c>
      <x:c r="K176" s="21" t="n">
        <x:v>49</x:v>
      </x:c>
      <x:c r="L176" s="21" t="str">
        <x:v>original精确文本</x:v>
      </x:c>
    </x:row>
    <x:row r="177">
      <x:c r="A177" s="38" t="n">
        <x:v>26</x:v>
      </x:c>
      <x:c r="B177" s="23" t="str">
        <x:v>帮我查一下 CBN-福州仓山-火车南站西广场南侧高架桥旁C-HRHH-513 和 CBN-福州晋安-站东路三环北路交叉西C-HRRH-512 这两个小区的经度、纬度和方位角。</x:v>
      </x:c>
      <x:c r="C177" s="23" t="str"/>
      <x:c r="D177" s="23" t="str">
        <x:v>AICO总结</x:v>
      </x:c>
      <x:c r="E177" s="23" t="str">
        <x:v>无tool_calls</x:v>
      </x:c>
      <x:c r="F177" s="21" t="n">
        <x:v>1</x:v>
      </x:c>
      <x:c r="G177" s="21" t="str">
        <x:v>2026-08-14T07:34:05.737</x:v>
      </x:c>
      <x:c r="H177" s="36" t="n">
        <x:v>2592.644</x:v>
      </x:c>
      <x:c r="I177" s="36" t="n">
        <x:f>H177/1000</x:f>
        <x:v>2.592644</x:v>
      </x:c>
      <x:c r="J177" s="21" t="str">
        <x:v>dsv_modify_0814/dsv4_3_aico.jsonl</x:v>
      </x:c>
      <x:c r="K177" s="21" t="n">
        <x:v>75</x:v>
      </x:c>
      <x:c r="L177" s="21" t="str">
        <x:v>original精确文本</x:v>
      </x:c>
    </x:row>
    <x:row r="178">
      <x:c r="A178" s="38" t="n">
        <x:v>26</x:v>
      </x:c>
      <x:c r="B178" s="23" t="str">
        <x:v>帮我查一下 CBN-福州仓山-火车南站西广场南侧高架桥旁C-HRHH-513 和 CBN-福州晋安-站东路三环北路交叉西C-HRRH-512 这两个小区的经度、纬度和方位角。</x:v>
      </x:c>
      <x:c r="C178" s="23" t="str"/>
      <x:c r="D178" s="23" t="str">
        <x:v>问题推荐</x:v>
      </x:c>
      <x:c r="E178" s="23" t="str">
        <x:v>后续问题推荐</x:v>
      </x:c>
      <x:c r="F178" s="21" t="n">
        <x:v>1</x:v>
      </x:c>
      <x:c r="G178" s="21" t="str">
        <x:v>2026-08-14T07:34:08.471</x:v>
      </x:c>
      <x:c r="H178" s="36" t="n">
        <x:v>3199.566</x:v>
      </x:c>
      <x:c r="I178" s="36" t="n">
        <x:f>H178/1000</x:f>
        <x:v>3.199566</x:v>
      </x:c>
      <x:c r="J178" s="21" t="str">
        <x:v>dsv_modify_0814/dsv4_3_recipe_ds.jsonl</x:v>
      </x:c>
      <x:c r="K178" s="21" t="n">
        <x:v>50</x:v>
      </x:c>
      <x:c r="L178" s="21" t="str">
        <x:v>original精确文本</x:v>
      </x:c>
    </x:row>
    <x:row r="179">
      <x:c r="A179" s="38" t="n">
        <x:v>27</x:v>
      </x:c>
      <x:c r="B179" s="23" t="str">
        <x:v>看一下深圳奥特莱斯D-HRH 和 深圳上威梅沙二D-HRH 这两个站点下小区的天线高度和电子下倾角。</x:v>
      </x:c>
      <x:c r="C179" s="23" t="str">
        <x:v>查询深圳奥特莱斯D-HRH 和 深圳上威梅沙二D-HRH 这两个站点下小区的天线高度和电子下倾角</x:v>
      </x:c>
      <x:c r="D179" s="23" t="str">
        <x:v>AICO Tool Call - Skill</x:v>
      </x:c>
      <x:c r="E179" s="23" t="str">
        <x:v>Skill</x:v>
      </x:c>
      <x:c r="F179" s="21" t="n">
        <x:v>1</x:v>
      </x:c>
      <x:c r="G179" s="21" t="str">
        <x:v>2026-08-14T07:34:09.534</x:v>
      </x:c>
      <x:c r="H179" s="36" t="n">
        <x:v>2599.587</x:v>
      </x:c>
      <x:c r="I179" s="36" t="n">
        <x:f>H179/1000</x:f>
        <x:v>2.599587</x:v>
      </x:c>
      <x:c r="J179" s="21" t="str">
        <x:v>dsv_modify_0814/dsv4_3_aico.jsonl</x:v>
      </x:c>
      <x:c r="K179" s="21" t="n">
        <x:v>76</x:v>
      </x:c>
      <x:c r="L179" s="21" t="str">
        <x:v>original精确文本</x:v>
      </x:c>
    </x:row>
    <x:row r="180">
      <x:c r="A180" s="38" t="n">
        <x:v>27</x:v>
      </x:c>
      <x:c r="B180" s="23" t="str">
        <x:v>看一下深圳奥特莱斯D-HRH 和 深圳上威梅沙二D-HRH 这两个站点下小区的天线高度和电子下倾角。</x:v>
      </x:c>
      <x:c r="C180" s="23" t="str">
        <x:v>查询深圳奥特莱斯D-HRH 和 深圳上威梅沙二D-HRH 这两个站点下小区的天线高度和电子下倾角</x:v>
      </x:c>
      <x:c r="D180" s="23" t="str">
        <x:v>AICO Tool Call - Workflow</x:v>
      </x:c>
      <x:c r="E180" s="23" t="str">
        <x:v>Workflow</x:v>
      </x:c>
      <x:c r="F180" s="21" t="n">
        <x:v>1</x:v>
      </x:c>
      <x:c r="G180" s="21" t="str">
        <x:v>2026-08-14T07:34:12.287</x:v>
      </x:c>
      <x:c r="H180" s="36" t="n">
        <x:v>3013.213</x:v>
      </x:c>
      <x:c r="I180" s="36" t="n">
        <x:f>H180/1000</x:f>
        <x:v>3.0132130000000004</x:v>
      </x:c>
      <x:c r="J180" s="21" t="str">
        <x:v>dsv_modify_0814/dsv4_3_aico.jsonl</x:v>
      </x:c>
      <x:c r="K180" s="21" t="n">
        <x:v>77</x:v>
      </x:c>
      <x:c r="L180" s="21" t="str">
        <x:v>original精确文本</x:v>
      </x:c>
    </x:row>
    <x:row r="181">
      <x:c r="A181" s="38" t="n">
        <x:v>27</x:v>
      </x:c>
      <x:c r="B181" s="23" t="str">
        <x:v>看一下深圳奥特莱斯D-HRH 和 深圳上威梅沙二D-HRH 这两个站点下小区的天线高度和电子下倾角。</x:v>
      </x:c>
      <x:c r="C181" s="23" t="str">
        <x:v>查询深圳奥特莱斯D-HRH 和 深圳上威梅沙二D-HRH 这两个站点下小区的天线高度和电子下倾角</x:v>
      </x:c>
      <x:c r="D181" s="23" t="str">
        <x:v>Recipe - DeepSeek</x:v>
      </x:c>
      <x:c r="E181" s="23" t="str">
        <x:v>DeepSeek recipe调用</x:v>
      </x:c>
      <x:c r="F181" s="21" t="n">
        <x:v>1</x:v>
      </x:c>
      <x:c r="G181" s="21" t="str">
        <x:v>2026-08-14T07:34:16.624</x:v>
      </x:c>
      <x:c r="H181" s="36" t="n">
        <x:v>1750.07</x:v>
      </x:c>
      <x:c r="I181" s="36" t="n">
        <x:f>H181/1000</x:f>
        <x:v>1.75007</x:v>
      </x:c>
      <x:c r="J181" s="21" t="str">
        <x:v>dsv_modify_0814/dsv4_3_recipe_ds.jsonl</x:v>
      </x:c>
      <x:c r="K181" s="21" t="n">
        <x:v>51</x:v>
      </x:c>
      <x:c r="L181" s="21" t="str">
        <x:v>processed精确文本</x:v>
      </x:c>
    </x:row>
    <x:row r="182">
      <x:c r="A182" s="38" t="n">
        <x:v>27</x:v>
      </x:c>
      <x:c r="B182" s="23" t="str">
        <x:v>看一下深圳奥特莱斯D-HRH 和 深圳上威梅沙二D-HRH 这两个站点下小区的天线高度和电子下倾角。</x:v>
      </x:c>
      <x:c r="C182" s="23" t="str">
        <x:v>查询深圳奥特莱斯D-HRH 和 深圳上威梅沙二D-HRH 这两个站点下小区的天线高度和电子下倾角</x:v>
      </x:c>
      <x:c r="D182" s="23" t="str">
        <x:v>Recipe - Qwen执行</x:v>
      </x:c>
      <x:c r="E182" s="23" t="str">
        <x:v>同一问题第1次Qwen调用</x:v>
      </x:c>
      <x:c r="F182" s="21" t="n">
        <x:v>1</x:v>
      </x:c>
      <x:c r="G182" s="21" t="str">
        <x:v>2026-08-14T07:34:18.722</x:v>
      </x:c>
      <x:c r="H182" s="36" t="n">
        <x:v>1891.25</x:v>
      </x:c>
      <x:c r="I182" s="36" t="n">
        <x:f>H182/1000</x:f>
        <x:v>1.89125</x:v>
      </x:c>
      <x:c r="J182" s="21" t="str">
        <x:v>dsv_modify_0814/qwen_3.jsonl</x:v>
      </x:c>
      <x:c r="K182" s="21" t="n">
        <x:v>53</x:v>
      </x:c>
      <x:c r="L182" s="21" t="str">
        <x:v>processed精确文本</x:v>
      </x:c>
    </x:row>
    <x:row r="183">
      <x:c r="A183" s="38" t="n">
        <x:v>27</x:v>
      </x:c>
      <x:c r="B183" s="23" t="str">
        <x:v>看一下深圳奥特莱斯D-HRH 和 深圳上威梅沙二D-HRH 这两个站点下小区的天线高度和电子下倾角。</x:v>
      </x:c>
      <x:c r="C183" s="23" t="str">
        <x:v>查询深圳奥特莱斯D-HRH 和 深圳上威梅沙二D-HRH 这两个站点下小区的天线高度和电子下倾角</x:v>
      </x:c>
      <x:c r="D183" s="23" t="str">
        <x:v>Recipe - Qwen总结</x:v>
      </x:c>
      <x:c r="E183" s="23" t="str">
        <x:v>同一问题最后一次Qwen调用</x:v>
      </x:c>
      <x:c r="F183" s="21" t="n">
        <x:v>1</x:v>
      </x:c>
      <x:c r="G183" s="21" t="str">
        <x:v>2026-08-14T07:34:21.152</x:v>
      </x:c>
      <x:c r="H183" s="36" t="n">
        <x:v>3922.103</x:v>
      </x:c>
      <x:c r="I183" s="36" t="n">
        <x:f>H183/1000</x:f>
        <x:v>3.922103</x:v>
      </x:c>
      <x:c r="J183" s="21" t="str">
        <x:v>dsv_modify_0814/qwen_3.jsonl</x:v>
      </x:c>
      <x:c r="K183" s="21" t="n">
        <x:v>54</x:v>
      </x:c>
      <x:c r="L183" s="21" t="str">
        <x:v>processed精确文本</x:v>
      </x:c>
    </x:row>
    <x:row r="184">
      <x:c r="A184" s="38" t="n">
        <x:v>27</x:v>
      </x:c>
      <x:c r="B184" s="23" t="str">
        <x:v>看一下深圳奥特莱斯D-HRH 和 深圳上威梅沙二D-HRH 这两个站点下小区的天线高度和电子下倾角。</x:v>
      </x:c>
      <x:c r="C184" s="23" t="str">
        <x:v>查询深圳奥特莱斯D-HRH 和 深圳上威梅沙二D-HRH 这两个站点下小区的天线高度和电子下倾角</x:v>
      </x:c>
      <x:c r="D184" s="23" t="str">
        <x:v>AICO总结</x:v>
      </x:c>
      <x:c r="E184" s="23" t="str">
        <x:v>无tool_calls</x:v>
      </x:c>
      <x:c r="F184" s="21" t="n">
        <x:v>1</x:v>
      </x:c>
      <x:c r="G184" s="21" t="str">
        <x:v>2026-08-14T07:34:25.339</x:v>
      </x:c>
      <x:c r="H184" s="36" t="n">
        <x:v>3944.763</x:v>
      </x:c>
      <x:c r="I184" s="36" t="n">
        <x:f>H184/1000</x:f>
        <x:v>3.944763</x:v>
      </x:c>
      <x:c r="J184" s="21" t="str">
        <x:v>dsv_modify_0814/dsv4_3_aico.jsonl</x:v>
      </x:c>
      <x:c r="K184" s="21" t="n">
        <x:v>78</x:v>
      </x:c>
      <x:c r="L184" s="21" t="str">
        <x:v>original精确文本</x:v>
      </x:c>
    </x:row>
    <x:row r="185">
      <x:c r="A185" s="38" t="n">
        <x:v>27</x:v>
      </x:c>
      <x:c r="B185" s="23" t="str">
        <x:v>看一下深圳奥特莱斯D-HRH 和 深圳上威梅沙二D-HRH 这两个站点下小区的天线高度和电子下倾角。</x:v>
      </x:c>
      <x:c r="C185" s="23" t="str">
        <x:v>查询深圳奥特莱斯D-HRH 和 深圳上威梅沙二D-HRH 这两个站点下小区的天线高度和电子下倾角</x:v>
      </x:c>
      <x:c r="D185" s="23" t="str">
        <x:v>问题推荐</x:v>
      </x:c>
      <x:c r="E185" s="23" t="str">
        <x:v>后续问题推荐</x:v>
      </x:c>
      <x:c r="F185" s="21" t="n">
        <x:v>1</x:v>
      </x:c>
      <x:c r="G185" s="21" t="str">
        <x:v>2026-08-14T07:34:29.680</x:v>
      </x:c>
      <x:c r="H185" s="36" t="n">
        <x:v>3938.878</x:v>
      </x:c>
      <x:c r="I185" s="36" t="n">
        <x:f>H185/1000</x:f>
        <x:v>3.9388780000000003</x:v>
      </x:c>
      <x:c r="J185" s="21" t="str">
        <x:v>dsv_modify_0814/dsv4_3_recipe_ds.jsonl</x:v>
      </x:c>
      <x:c r="K185" s="21" t="n">
        <x:v>52</x:v>
      </x:c>
      <x:c r="L185" s="21" t="str">
        <x:v>original精确文本</x:v>
      </x:c>
    </x:row>
    <x:row r="186">
      <x:c r="A186" s="38" t="n">
        <x:v>28</x:v>
      </x:c>
      <x:c r="B186" s="23" t="str">
        <x:v>找出 CBN-深圳大梅沙二U-H5H-0711、CBN-深圳盐梅路一U-H5H-0712 和 CBN-深圳东海岸三[CBN-深圳天麓八区U-H5H]U-H5H-0711 这三个小区的站点名称。</x:v>
      </x:c>
      <x:c r="C186" s="23" t="str">
        <x:v>找出 CBN-深圳大梅沙二U-H5H-0711、CBN-深圳盐梅路一U-H5H-0712 和 CBN-深圳东海岸三[CBN-深圳天麓八区U-H5H]U-H5H-0711 这三个小区的站点名称</x:v>
      </x:c>
      <x:c r="D186" s="23" t="str">
        <x:v>AICO Tool Call - Skill</x:v>
      </x:c>
      <x:c r="E186" s="23" t="str">
        <x:v>Skill</x:v>
      </x:c>
      <x:c r="F186" s="21" t="n">
        <x:v>1</x:v>
      </x:c>
      <x:c r="G186" s="21" t="str">
        <x:v>2026-08-14T07:34:30.536</x:v>
      </x:c>
      <x:c r="H186" s="36" t="n">
        <x:v>3593.988</x:v>
      </x:c>
      <x:c r="I186" s="36" t="n">
        <x:f>H186/1000</x:f>
        <x:v>3.593988</x:v>
      </x:c>
      <x:c r="J186" s="21" t="str">
        <x:v>dsv_modify_0814/dsv4_3_aico.jsonl</x:v>
      </x:c>
      <x:c r="K186" s="21" t="n">
        <x:v>79</x:v>
      </x:c>
      <x:c r="L186" s="21" t="str">
        <x:v>original精确文本</x:v>
      </x:c>
    </x:row>
    <x:row r="187">
      <x:c r="A187" s="38" t="n">
        <x:v>28</x:v>
      </x:c>
      <x:c r="B187" s="23" t="str">
        <x:v>找出 CBN-深圳大梅沙二U-H5H-0711、CBN-深圳盐梅路一U-H5H-0712 和 CBN-深圳东海岸三[CBN-深圳天麓八区U-H5H]U-H5H-0711 这三个小区的站点名称。</x:v>
      </x:c>
      <x:c r="C187" s="23" t="str">
        <x:v>找出 CBN-深圳大梅沙二U-H5H-0711、CBN-深圳盐梅路一U-H5H-0712 和 CBN-深圳东海岸三[CBN-深圳天麓八区U-H5H]U-H5H-0711 这三个小区的站点名称</x:v>
      </x:c>
      <x:c r="D187" s="23" t="str">
        <x:v>AICO Tool Call - Workflow</x:v>
      </x:c>
      <x:c r="E187" s="23" t="str">
        <x:v>Workflow</x:v>
      </x:c>
      <x:c r="F187" s="21" t="n">
        <x:v>1</x:v>
      </x:c>
      <x:c r="G187" s="21" t="str">
        <x:v>2026-08-14T07:34:34.311</x:v>
      </x:c>
      <x:c r="H187" s="36" t="n">
        <x:v>2771.941</x:v>
      </x:c>
      <x:c r="I187" s="36" t="n">
        <x:f>H187/1000</x:f>
        <x:v>2.771941</x:v>
      </x:c>
      <x:c r="J187" s="21" t="str">
        <x:v>dsv_modify_0814/dsv4_3_aico.jsonl</x:v>
      </x:c>
      <x:c r="K187" s="21" t="n">
        <x:v>80</x:v>
      </x:c>
      <x:c r="L187" s="21" t="str">
        <x:v>original精确文本</x:v>
      </x:c>
    </x:row>
    <x:row r="188">
      <x:c r="A188" s="38" t="n">
        <x:v>28</x:v>
      </x:c>
      <x:c r="B188" s="23" t="str">
        <x:v>找出 CBN-深圳大梅沙二U-H5H-0711、CBN-深圳盐梅路一U-H5H-0712 和 CBN-深圳东海岸三[CBN-深圳天麓八区U-H5H]U-H5H-0711 这三个小区的站点名称。</x:v>
      </x:c>
      <x:c r="C188" s="23" t="str">
        <x:v>找出 CBN-深圳大梅沙二U-H5H-0711、CBN-深圳盐梅路一U-H5H-0712 和 CBN-深圳东海岸三[CBN-深圳天麓八区U-H5H]U-H5H-0711 这三个小区的站点名称</x:v>
      </x:c>
      <x:c r="D188" s="23" t="str">
        <x:v>Recipe - DeepSeek</x:v>
      </x:c>
      <x:c r="E188" s="23" t="str">
        <x:v>DeepSeek recipe调用</x:v>
      </x:c>
      <x:c r="F188" s="21" t="n">
        <x:v>1</x:v>
      </x:c>
      <x:c r="G188" s="21" t="str">
        <x:v>2026-08-14T07:34:38.659</x:v>
      </x:c>
      <x:c r="H188" s="36" t="n">
        <x:v>1847.4</x:v>
      </x:c>
      <x:c r="I188" s="36" t="n">
        <x:f>H188/1000</x:f>
        <x:v>1.8474000000000002</x:v>
      </x:c>
      <x:c r="J188" s="21" t="str">
        <x:v>dsv_modify_0814/dsv4_3_recipe_ds.jsonl</x:v>
      </x:c>
      <x:c r="K188" s="21" t="n">
        <x:v>53</x:v>
      </x:c>
      <x:c r="L188" s="21" t="str">
        <x:v>processed精确文本</x:v>
      </x:c>
    </x:row>
    <x:row r="189">
      <x:c r="A189" s="38" t="n">
        <x:v>28</x:v>
      </x:c>
      <x:c r="B189" s="23" t="str">
        <x:v>找出 CBN-深圳大梅沙二U-H5H-0711、CBN-深圳盐梅路一U-H5H-0712 和 CBN-深圳东海岸三[CBN-深圳天麓八区U-H5H]U-H5H-0711 这三个小区的站点名称。</x:v>
      </x:c>
      <x:c r="C189" s="23" t="str">
        <x:v>找出 CBN-深圳大梅沙二U-H5H-0711、CBN-深圳盐梅路一U-H5H-0712 和 CBN-深圳东海岸三[CBN-深圳天麓八区U-H5H]U-H5H-0711 这三个小区的站点名称</x:v>
      </x:c>
      <x:c r="D189" s="23" t="str">
        <x:v>Recipe - Qwen执行</x:v>
      </x:c>
      <x:c r="E189" s="23" t="str">
        <x:v>同一问题第1次Qwen调用</x:v>
      </x:c>
      <x:c r="F189" s="21" t="n">
        <x:v>1</x:v>
      </x:c>
      <x:c r="G189" s="21" t="str">
        <x:v>2026-08-14T07:34:40.883</x:v>
      </x:c>
      <x:c r="H189" s="36" t="n">
        <x:v>2542.158</x:v>
      </x:c>
      <x:c r="I189" s="36" t="n">
        <x:f>H189/1000</x:f>
        <x:v>2.5421579999999997</x:v>
      </x:c>
      <x:c r="J189" s="21" t="str">
        <x:v>dsv_modify_0814/qwen_3.jsonl</x:v>
      </x:c>
      <x:c r="K189" s="21" t="n">
        <x:v>55</x:v>
      </x:c>
      <x:c r="L189" s="21" t="str">
        <x:v>processed精确文本</x:v>
      </x:c>
    </x:row>
    <x:row r="190">
      <x:c r="A190" s="38" t="n">
        <x:v>28</x:v>
      </x:c>
      <x:c r="B190" s="23" t="str">
        <x:v>找出 CBN-深圳大梅沙二U-H5H-0711、CBN-深圳盐梅路一U-H5H-0712 和 CBN-深圳东海岸三[CBN-深圳天麓八区U-H5H]U-H5H-0711 这三个小区的站点名称。</x:v>
      </x:c>
      <x:c r="C190" s="23" t="str">
        <x:v>找出 CBN-深圳大梅沙二U-H5H-0711、CBN-深圳盐梅路一U-H5H-0712 和 CBN-深圳东海岸三[CBN-深圳天麓八区U-H5H]U-H5H-0711 这三个小区的站点名称</x:v>
      </x:c>
      <x:c r="D190" s="23" t="str">
        <x:v>Recipe - Qwen总结</x:v>
      </x:c>
      <x:c r="E190" s="23" t="str">
        <x:v>同一问题最后一次Qwen调用</x:v>
      </x:c>
      <x:c r="F190" s="21" t="n">
        <x:v>1</x:v>
      </x:c>
      <x:c r="G190" s="21" t="str">
        <x:v>2026-08-14T07:34:43.948</x:v>
      </x:c>
      <x:c r="H190" s="36" t="n">
        <x:v>1918.756</x:v>
      </x:c>
      <x:c r="I190" s="36" t="n">
        <x:f>H190/1000</x:f>
        <x:v>1.9187560000000001</x:v>
      </x:c>
      <x:c r="J190" s="21" t="str">
        <x:v>dsv_modify_0814/qwen_3.jsonl</x:v>
      </x:c>
      <x:c r="K190" s="21" t="n">
        <x:v>56</x:v>
      </x:c>
      <x:c r="L190" s="21" t="str">
        <x:v>processed精确文本</x:v>
      </x:c>
    </x:row>
    <x:row r="191">
      <x:c r="A191" s="38" t="n">
        <x:v>28</x:v>
      </x:c>
      <x:c r="B191" s="23" t="str">
        <x:v>找出 CBN-深圳大梅沙二U-H5H-0711、CBN-深圳盐梅路一U-H5H-0712 和 CBN-深圳东海岸三[CBN-深圳天麓八区U-H5H]U-H5H-0711 这三个小区的站点名称。</x:v>
      </x:c>
      <x:c r="C191" s="23" t="str">
        <x:v>找出 CBN-深圳大梅沙二U-H5H-0711、CBN-深圳盐梅路一U-H5H-0712 和 CBN-深圳东海岸三[CBN-深圳天麓八区U-H5H]U-H5H-0711 这三个小区的站点名称</x:v>
      </x:c>
      <x:c r="D191" s="23" t="str">
        <x:v>AICO总结</x:v>
      </x:c>
      <x:c r="E191" s="23" t="str">
        <x:v>无tool_calls</x:v>
      </x:c>
      <x:c r="F191" s="21" t="n">
        <x:v>1</x:v>
      </x:c>
      <x:c r="G191" s="21" t="str">
        <x:v>2026-08-14T07:34:46.138</x:v>
      </x:c>
      <x:c r="H191" s="36" t="n">
        <x:v>3307.53</x:v>
      </x:c>
      <x:c r="I191" s="36" t="n">
        <x:f>H191/1000</x:f>
        <x:v>3.3075300000000003</x:v>
      </x:c>
      <x:c r="J191" s="21" t="str">
        <x:v>dsv_modify_0814/dsv4_3_aico.jsonl</x:v>
      </x:c>
      <x:c r="K191" s="21" t="n">
        <x:v>81</x:v>
      </x:c>
      <x:c r="L191" s="21" t="str">
        <x:v>original精确文本</x:v>
      </x:c>
    </x:row>
    <x:row r="192">
      <x:c r="A192" s="38" t="n">
        <x:v>28</x:v>
      </x:c>
      <x:c r="B192" s="23" t="str">
        <x:v>找出 CBN-深圳大梅沙二U-H5H-0711、CBN-深圳盐梅路一U-H5H-0712 和 CBN-深圳东海岸三[CBN-深圳天麓八区U-H5H]U-H5H-0711 这三个小区的站点名称。</x:v>
      </x:c>
      <x:c r="C192" s="23" t="str">
        <x:v>找出 CBN-深圳大梅沙二U-H5H-0711、CBN-深圳盐梅路一U-H5H-0712 和 CBN-深圳东海岸三[CBN-深圳天麓八区U-H5H]U-H5H-0711 这三个小区的站点名称</x:v>
      </x:c>
      <x:c r="D192" s="23" t="str">
        <x:v>问题推荐</x:v>
      </x:c>
      <x:c r="E192" s="23" t="str">
        <x:v>后续问题推荐</x:v>
      </x:c>
      <x:c r="F192" s="21" t="n">
        <x:v>1</x:v>
      </x:c>
      <x:c r="G192" s="21" t="str">
        <x:v>2026-08-14T07:34:49.727</x:v>
      </x:c>
      <x:c r="H192" s="36" t="n">
        <x:v>3643.015</x:v>
      </x:c>
      <x:c r="I192" s="36" t="n">
        <x:f>H192/1000</x:f>
        <x:v>3.6430149999999997</x:v>
      </x:c>
      <x:c r="J192" s="21" t="str">
        <x:v>dsv_modify_0814/dsv4_3_recipe_ds.jsonl</x:v>
      </x:c>
      <x:c r="K192" s="21" t="n">
        <x:v>54</x:v>
      </x:c>
      <x:c r="L192" s="21" t="str">
        <x:v>original精确文本</x:v>
      </x:c>
    </x:row>
    <x:row r="193">
      <x:c r="A193" s="38" t="n">
        <x:v>29</x:v>
      </x:c>
      <x:c r="B193" s="23" t="str">
        <x:v>对比一下 CBN-福州晋安-东浦新村4号楼C-HRHH-513 和 CBN-福州晋安-东浦新村4号楼C-HRHH-514 这两个小区的设备厂商和小区名称。</x:v>
      </x:c>
      <x:c r="C193" s="23" t="str">
        <x:v>对比 CBN-福州晋安-东浦新村4号楼C-HRHH-513 和 CBN-福州晋安-东浦新村4号楼C-HRHH-514 这两个小区的设备厂商和小区名称</x:v>
      </x:c>
      <x:c r="D193" s="23" t="str">
        <x:v>AICO Tool Call - Skill</x:v>
      </x:c>
      <x:c r="E193" s="23" t="str">
        <x:v>Skill</x:v>
      </x:c>
      <x:c r="F193" s="21" t="n">
        <x:v>1</x:v>
      </x:c>
      <x:c r="G193" s="21" t="str">
        <x:v>2026-08-14T07:34:50.780</x:v>
      </x:c>
      <x:c r="H193" s="36" t="n">
        <x:v>2587.063</x:v>
      </x:c>
      <x:c r="I193" s="36" t="n">
        <x:f>H193/1000</x:f>
        <x:v>2.587063</x:v>
      </x:c>
      <x:c r="J193" s="21" t="str">
        <x:v>dsv_modify_0814/dsv4_3_aico.jsonl</x:v>
      </x:c>
      <x:c r="K193" s="21" t="n">
        <x:v>82</x:v>
      </x:c>
      <x:c r="L193" s="21" t="str">
        <x:v>original精确文本</x:v>
      </x:c>
    </x:row>
    <x:row r="194">
      <x:c r="A194" s="38" t="n">
        <x:v>29</x:v>
      </x:c>
      <x:c r="B194" s="23" t="str">
        <x:v>对比一下 CBN-福州晋安-东浦新村4号楼C-HRHH-513 和 CBN-福州晋安-东浦新村4号楼C-HRHH-514 这两个小区的设备厂商和小区名称。</x:v>
      </x:c>
      <x:c r="C194" s="23" t="str">
        <x:v>对比 CBN-福州晋安-东浦新村4号楼C-HRHH-513 和 CBN-福州晋安-东浦新村4号楼C-HRHH-514 这两个小区的设备厂商和小区名称</x:v>
      </x:c>
      <x:c r="D194" s="23" t="str">
        <x:v>AICO Tool Call - Workflow</x:v>
      </x:c>
      <x:c r="E194" s="23" t="str">
        <x:v>Workflow</x:v>
      </x:c>
      <x:c r="F194" s="21" t="n">
        <x:v>1</x:v>
      </x:c>
      <x:c r="G194" s="21" t="str">
        <x:v>2026-08-14T07:34:53.528</x:v>
      </x:c>
      <x:c r="H194" s="36" t="n">
        <x:v>3126.613</x:v>
      </x:c>
      <x:c r="I194" s="36" t="n">
        <x:f>H194/1000</x:f>
        <x:v>3.126613</x:v>
      </x:c>
      <x:c r="J194" s="21" t="str">
        <x:v>dsv_modify_0814/dsv4_3_aico.jsonl</x:v>
      </x:c>
      <x:c r="K194" s="21" t="n">
        <x:v>83</x:v>
      </x:c>
      <x:c r="L194" s="21" t="str">
        <x:v>original精确文本</x:v>
      </x:c>
    </x:row>
    <x:row r="195">
      <x:c r="A195" s="38" t="n">
        <x:v>29</x:v>
      </x:c>
      <x:c r="B195" s="23" t="str">
        <x:v>对比一下 CBN-福州晋安-东浦新村4号楼C-HRHH-513 和 CBN-福州晋安-东浦新村4号楼C-HRHH-514 这两个小区的设备厂商和小区名称。</x:v>
      </x:c>
      <x:c r="C195" s="23" t="str">
        <x:v>对比 CBN-福州晋安-东浦新村4号楼C-HRHH-513 和 CBN-福州晋安-东浦新村4号楼C-HRHH-514 这两个小区的设备厂商和小区名称</x:v>
      </x:c>
      <x:c r="D195" s="23" t="str">
        <x:v>Recipe - DeepSeek</x:v>
      </x:c>
      <x:c r="E195" s="23" t="str">
        <x:v>DeepSeek recipe调用</x:v>
      </x:c>
      <x:c r="F195" s="21" t="n">
        <x:v>1</x:v>
      </x:c>
      <x:c r="G195" s="21" t="str">
        <x:v>2026-08-14T07:34:57.815</x:v>
      </x:c>
      <x:c r="H195" s="36" t="n">
        <x:v>2027.869</x:v>
      </x:c>
      <x:c r="I195" s="36" t="n">
        <x:f>H195/1000</x:f>
        <x:v>2.027869</x:v>
      </x:c>
      <x:c r="J195" s="21" t="str">
        <x:v>dsv_modify_0814/dsv4_3_recipe_ds.jsonl</x:v>
      </x:c>
      <x:c r="K195" s="21" t="n">
        <x:v>55</x:v>
      </x:c>
      <x:c r="L195" s="21" t="str">
        <x:v>processed精确文本</x:v>
      </x:c>
    </x:row>
    <x:row r="196">
      <x:c r="A196" s="38" t="n">
        <x:v>29</x:v>
      </x:c>
      <x:c r="B196" s="23" t="str">
        <x:v>对比一下 CBN-福州晋安-东浦新村4号楼C-HRHH-513 和 CBN-福州晋安-东浦新村4号楼C-HRHH-514 这两个小区的设备厂商和小区名称。</x:v>
      </x:c>
      <x:c r="C196" s="23" t="str">
        <x:v>对比 CBN-福州晋安-东浦新村4号楼C-HRHH-513 和 CBN-福州晋安-东浦新村4号楼C-HRHH-514 这两个小区的设备厂商和小区名称</x:v>
      </x:c>
      <x:c r="D196" s="23" t="str">
        <x:v>Recipe - Qwen执行</x:v>
      </x:c>
      <x:c r="E196" s="23" t="str">
        <x:v>同一问题第1次Qwen调用</x:v>
      </x:c>
      <x:c r="F196" s="21" t="n">
        <x:v>1</x:v>
      </x:c>
      <x:c r="G196" s="21" t="str">
        <x:v>2026-08-14T07:35:00.179</x:v>
      </x:c>
      <x:c r="H196" s="36" t="n">
        <x:v>2008.235</x:v>
      </x:c>
      <x:c r="I196" s="36" t="n">
        <x:f>H196/1000</x:f>
        <x:v>2.008235</x:v>
      </x:c>
      <x:c r="J196" s="21" t="str">
        <x:v>dsv_modify_0814/qwen_3.jsonl</x:v>
      </x:c>
      <x:c r="K196" s="21" t="n">
        <x:v>57</x:v>
      </x:c>
      <x:c r="L196" s="21" t="str">
        <x:v>processed精确文本</x:v>
      </x:c>
    </x:row>
    <x:row r="197">
      <x:c r="A197" s="38" t="n">
        <x:v>29</x:v>
      </x:c>
      <x:c r="B197" s="23" t="str">
        <x:v>对比一下 CBN-福州晋安-东浦新村4号楼C-HRHH-513 和 CBN-福州晋安-东浦新村4号楼C-HRHH-514 这两个小区的设备厂商和小区名称。</x:v>
      </x:c>
      <x:c r="C197" s="23" t="str">
        <x:v>对比 CBN-福州晋安-东浦新村4号楼C-HRHH-513 和 CBN-福州晋安-东浦新村4号楼C-HRHH-514 这两个小区的设备厂商和小区名称</x:v>
      </x:c>
      <x:c r="D197" s="23" t="str">
        <x:v>Recipe - Qwen执行</x:v>
      </x:c>
      <x:c r="E197" s="23" t="str">
        <x:v>同一问题第2次Qwen调用</x:v>
      </x:c>
      <x:c r="F197" s="21" t="n">
        <x:v>2</x:v>
      </x:c>
      <x:c r="G197" s="21" t="str">
        <x:v>2026-08-14T07:35:02.686</x:v>
      </x:c>
      <x:c r="H197" s="36" t="n">
        <x:v>3756.278</x:v>
      </x:c>
      <x:c r="I197" s="36" t="n">
        <x:f>H197/1000</x:f>
        <x:v>3.756278</x:v>
      </x:c>
      <x:c r="J197" s="21" t="str">
        <x:v>dsv_modify_0814/qwen_3.jsonl</x:v>
      </x:c>
      <x:c r="K197" s="21" t="n">
        <x:v>58</x:v>
      </x:c>
      <x:c r="L197" s="21" t="str">
        <x:v>processed精确文本</x:v>
      </x:c>
    </x:row>
    <x:row r="198">
      <x:c r="A198" s="38" t="n">
        <x:v>29</x:v>
      </x:c>
      <x:c r="B198" s="23" t="str">
        <x:v>对比一下 CBN-福州晋安-东浦新村4号楼C-HRHH-513 和 CBN-福州晋安-东浦新村4号楼C-HRHH-514 这两个小区的设备厂商和小区名称。</x:v>
      </x:c>
      <x:c r="C198" s="23" t="str">
        <x:v>对比 CBN-福州晋安-东浦新村4号楼C-HRHH-513 和 CBN-福州晋安-东浦新村4号楼C-HRHH-514 这两个小区的设备厂商和小区名称</x:v>
      </x:c>
      <x:c r="D198" s="23" t="str">
        <x:v>Recipe - Qwen总结</x:v>
      </x:c>
      <x:c r="E198" s="23" t="str">
        <x:v>同一问题最后一次Qwen调用</x:v>
      </x:c>
      <x:c r="F198" s="21" t="n">
        <x:v>1</x:v>
      </x:c>
      <x:c r="G198" s="21" t="str">
        <x:v>2026-08-14T07:35:06.953</x:v>
      </x:c>
      <x:c r="H198" s="36" t="n">
        <x:v>2912.215</x:v>
      </x:c>
      <x:c r="I198" s="36" t="n">
        <x:f>H198/1000</x:f>
        <x:v>2.912215</x:v>
      </x:c>
      <x:c r="J198" s="21" t="str">
        <x:v>dsv_modify_0814/qwen_3.jsonl</x:v>
      </x:c>
      <x:c r="K198" s="21" t="n">
        <x:v>59</x:v>
      </x:c>
      <x:c r="L198" s="21" t="str">
        <x:v>processed精确文本</x:v>
      </x:c>
    </x:row>
    <x:row r="199">
      <x:c r="A199" s="38" t="n">
        <x:v>29</x:v>
      </x:c>
      <x:c r="B199" s="23" t="str">
        <x:v>对比一下 CBN-福州晋安-东浦新村4号楼C-HRHH-513 和 CBN-福州晋安-东浦新村4号楼C-HRHH-514 这两个小区的设备厂商和小区名称。</x:v>
      </x:c>
      <x:c r="C199" s="23" t="str">
        <x:v>对比 CBN-福州晋安-东浦新村4号楼C-HRHH-513 和 CBN-福州晋安-东浦新村4号楼C-HRHH-514 这两个小区的设备厂商和小区名称</x:v>
      </x:c>
      <x:c r="D199" s="23" t="str">
        <x:v>AICO总结</x:v>
      </x:c>
      <x:c r="E199" s="23" t="str">
        <x:v>无tool_calls</x:v>
      </x:c>
      <x:c r="F199" s="21" t="n">
        <x:v>1</x:v>
      </x:c>
      <x:c r="G199" s="21" t="str">
        <x:v>2026-08-14T07:35:10.119</x:v>
      </x:c>
      <x:c r="H199" s="36" t="n">
        <x:v>2336.747</x:v>
      </x:c>
      <x:c r="I199" s="36" t="n">
        <x:f>H199/1000</x:f>
        <x:v>2.336747</x:v>
      </x:c>
      <x:c r="J199" s="21" t="str">
        <x:v>dsv_modify_0814/dsv4_3_aico.jsonl</x:v>
      </x:c>
      <x:c r="K199" s="21" t="n">
        <x:v>84</x:v>
      </x:c>
      <x:c r="L199" s="21" t="str">
        <x:v>original精确文本</x:v>
      </x:c>
    </x:row>
    <x:row r="200">
      <x:c r="A200" s="38" t="n">
        <x:v>29</x:v>
      </x:c>
      <x:c r="B200" s="23" t="str">
        <x:v>对比一下 CBN-福州晋安-东浦新村4号楼C-HRHH-513 和 CBN-福州晋安-东浦新村4号楼C-HRHH-514 这两个小区的设备厂商和小区名称。</x:v>
      </x:c>
      <x:c r="C200" s="23" t="str">
        <x:v>对比 CBN-福州晋安-东浦新村4号楼C-HRHH-513 和 CBN-福州晋安-东浦新村4号楼C-HRHH-514 这两个小区的设备厂商和小区名称</x:v>
      </x:c>
      <x:c r="D200" s="23" t="str">
        <x:v>问题推荐</x:v>
      </x:c>
      <x:c r="E200" s="23" t="str">
        <x:v>后续问题推荐</x:v>
      </x:c>
      <x:c r="F200" s="21" t="n">
        <x:v>1</x:v>
      </x:c>
      <x:c r="G200" s="21" t="str">
        <x:v>2026-08-14T07:35:12.735</x:v>
      </x:c>
      <x:c r="H200" s="36" t="n">
        <x:v>1182.553</x:v>
      </x:c>
      <x:c r="I200" s="36" t="n">
        <x:f>H200/1000</x:f>
        <x:v>1.1825530000000002</x:v>
      </x:c>
      <x:c r="J200" s="21" t="str">
        <x:v>dsv_modify_0814/dsv4_3_recipe_ds.jsonl</x:v>
      </x:c>
      <x:c r="K200" s="21" t="n">
        <x:v>56</x:v>
      </x:c>
      <x:c r="L200" s="21" t="str">
        <x:v>original精确文本</x:v>
      </x:c>
    </x:row>
    <x:row r="201">
      <x:c r="A201" s="38" t="n">
        <x:v>30</x:v>
      </x:c>
      <x:c r="B201" s="23" t="str">
        <x:v>确认一下 CBN-福州仓山-福州南站火车南站西北美化塔C-HRRH 和 CBN-深圳大梅沙U-H5H 这两个站点下小区的方位角和天线高度。</x:v>
      </x:c>
      <x:c r="C201" s="23" t="str">
        <x:v>查询 CBN-福州仓山-福州南站火车南站西北美化塔C-HRRH 和 CBN-深圳大梅沙U-H5H 这两个站点下小区的方位角和天线高度</x:v>
      </x:c>
      <x:c r="D201" s="23" t="str">
        <x:v>AICO Tool Call - Skill</x:v>
      </x:c>
      <x:c r="E201" s="23" t="str">
        <x:v>Skill</x:v>
      </x:c>
      <x:c r="F201" s="21" t="n">
        <x:v>1</x:v>
      </x:c>
      <x:c r="G201" s="21" t="str">
        <x:v>2026-08-14T07:35:13.658</x:v>
      </x:c>
      <x:c r="H201" s="36" t="n">
        <x:v>2573.855</x:v>
      </x:c>
      <x:c r="I201" s="36" t="n">
        <x:f>H201/1000</x:f>
        <x:v>2.573855</x:v>
      </x:c>
      <x:c r="J201" s="21" t="str">
        <x:v>dsv_modify_0814/dsv4_3_aico.jsonl</x:v>
      </x:c>
      <x:c r="K201" s="21" t="n">
        <x:v>85</x:v>
      </x:c>
      <x:c r="L201" s="21" t="str">
        <x:v>original精确文本</x:v>
      </x:c>
    </x:row>
    <x:row r="202">
      <x:c r="A202" s="38" t="n">
        <x:v>30</x:v>
      </x:c>
      <x:c r="B202" s="23" t="str">
        <x:v>确认一下 CBN-福州仓山-福州南站火车南站西北美化塔C-HRRH 和 CBN-深圳大梅沙U-H5H 这两个站点下小区的方位角和天线高度。</x:v>
      </x:c>
      <x:c r="C202" s="23" t="str">
        <x:v>查询 CBN-福州仓山-福州南站火车南站西北美化塔C-HRRH 和 CBN-深圳大梅沙U-H5H 这两个站点下小区的方位角和天线高度</x:v>
      </x:c>
      <x:c r="D202" s="23" t="str">
        <x:v>AICO Tool Call - Workflow</x:v>
      </x:c>
      <x:c r="E202" s="23" t="str">
        <x:v>Workflow</x:v>
      </x:c>
      <x:c r="F202" s="21" t="n">
        <x:v>1</x:v>
      </x:c>
      <x:c r="G202" s="21" t="str">
        <x:v>2026-08-14T07:35:16.386</x:v>
      </x:c>
      <x:c r="H202" s="36" t="n">
        <x:v>3199.913</x:v>
      </x:c>
      <x:c r="I202" s="36" t="n">
        <x:f>H202/1000</x:f>
        <x:v>3.199913</x:v>
      </x:c>
      <x:c r="J202" s="21" t="str">
        <x:v>dsv_modify_0814/dsv4_3_aico.jsonl</x:v>
      </x:c>
      <x:c r="K202" s="21" t="n">
        <x:v>86</x:v>
      </x:c>
      <x:c r="L202" s="21" t="str">
        <x:v>original精确文本</x:v>
      </x:c>
    </x:row>
    <x:row r="203">
      <x:c r="A203" s="38" t="n">
        <x:v>30</x:v>
      </x:c>
      <x:c r="B203" s="23" t="str">
        <x:v>确认一下 CBN-福州仓山-福州南站火车南站西北美化塔C-HRRH 和 CBN-深圳大梅沙U-H5H 这两个站点下小区的方位角和天线高度。</x:v>
      </x:c>
      <x:c r="C203" s="23" t="str">
        <x:v>查询 CBN-福州仓山-福州南站火车南站西北美化塔C-HRRH 和 CBN-深圳大梅沙U-H5H 这两个站点下小区的方位角和天线高度</x:v>
      </x:c>
      <x:c r="D203" s="23" t="str">
        <x:v>Recipe - DeepSeek</x:v>
      </x:c>
      <x:c r="E203" s="23" t="str">
        <x:v>DeepSeek recipe调用</x:v>
      </x:c>
      <x:c r="F203" s="21" t="n">
        <x:v>1</x:v>
      </x:c>
      <x:c r="G203" s="21" t="str">
        <x:v>2026-08-14T07:35:21.014</x:v>
      </x:c>
      <x:c r="H203" s="36" t="n">
        <x:v>1939.303</x:v>
      </x:c>
      <x:c r="I203" s="36" t="n">
        <x:f>H203/1000</x:f>
        <x:v>1.9393030000000002</x:v>
      </x:c>
      <x:c r="J203" s="21" t="str">
        <x:v>dsv_modify_0814/dsv4_3_recipe_ds.jsonl</x:v>
      </x:c>
      <x:c r="K203" s="21" t="n">
        <x:v>57</x:v>
      </x:c>
      <x:c r="L203" s="21" t="str">
        <x:v>processed精确文本</x:v>
      </x:c>
    </x:row>
    <x:row r="204">
      <x:c r="A204" s="38" t="n">
        <x:v>30</x:v>
      </x:c>
      <x:c r="B204" s="23" t="str">
        <x:v>确认一下 CBN-福州仓山-福州南站火车南站西北美化塔C-HRRH 和 CBN-深圳大梅沙U-H5H 这两个站点下小区的方位角和天线高度。</x:v>
      </x:c>
      <x:c r="C204" s="23" t="str">
        <x:v>查询 CBN-福州仓山-福州南站火车南站西北美化塔C-HRRH 和 CBN-深圳大梅沙U-H5H 这两个站点下小区的方位角和天线高度</x:v>
      </x:c>
      <x:c r="D204" s="23" t="str">
        <x:v>Recipe - Qwen执行</x:v>
      </x:c>
      <x:c r="E204" s="23" t="str">
        <x:v>同一问题第1次Qwen调用</x:v>
      </x:c>
      <x:c r="F204" s="21" t="n">
        <x:v>1</x:v>
      </x:c>
      <x:c r="G204" s="21" t="str">
        <x:v>2026-08-14T07:35:23.306</x:v>
      </x:c>
      <x:c r="H204" s="36" t="n">
        <x:v>2071.042</x:v>
      </x:c>
      <x:c r="I204" s="36" t="n">
        <x:f>H204/1000</x:f>
        <x:v>2.071042</x:v>
      </x:c>
      <x:c r="J204" s="21" t="str">
        <x:v>dsv_modify_0814/qwen_3.jsonl</x:v>
      </x:c>
      <x:c r="K204" s="21" t="n">
        <x:v>60</x:v>
      </x:c>
      <x:c r="L204" s="21" t="str">
        <x:v>processed精确文本</x:v>
      </x:c>
    </x:row>
    <x:row r="205">
      <x:c r="A205" s="38" t="n">
        <x:v>30</x:v>
      </x:c>
      <x:c r="B205" s="23" t="str">
        <x:v>确认一下 CBN-福州仓山-福州南站火车南站西北美化塔C-HRRH 和 CBN-深圳大梅沙U-H5H 这两个站点下小区的方位角和天线高度。</x:v>
      </x:c>
      <x:c r="C205" s="23" t="str">
        <x:v>查询 CBN-福州仓山-福州南站火车南站西北美化塔C-HRRH 和 CBN-深圳大梅沙U-H5H 这两个站点下小区的方位角和天线高度</x:v>
      </x:c>
      <x:c r="D205" s="23" t="str">
        <x:v>Recipe - Qwen总结</x:v>
      </x:c>
      <x:c r="E205" s="23" t="str">
        <x:v>同一问题最后一次Qwen调用</x:v>
      </x:c>
      <x:c r="F205" s="21" t="n">
        <x:v>1</x:v>
      </x:c>
      <x:c r="G205" s="21" t="str">
        <x:v>2026-08-14T07:35:25.895</x:v>
      </x:c>
      <x:c r="H205" s="36" t="n">
        <x:v>4332.677</x:v>
      </x:c>
      <x:c r="I205" s="36" t="n">
        <x:f>H205/1000</x:f>
        <x:v>4.3326769999999994</x:v>
      </x:c>
      <x:c r="J205" s="21" t="str">
        <x:v>dsv_modify_0814/qwen_3.jsonl</x:v>
      </x:c>
      <x:c r="K205" s="21" t="n">
        <x:v>61</x:v>
      </x:c>
      <x:c r="L205" s="21" t="str">
        <x:v>processed精确文本</x:v>
      </x:c>
    </x:row>
    <x:row r="206">
      <x:c r="A206" s="38" t="n">
        <x:v>30</x:v>
      </x:c>
      <x:c r="B206" s="23" t="str">
        <x:v>确认一下 CBN-福州仓山-福州南站火车南站西北美化塔C-HRRH 和 CBN-深圳大梅沙U-H5H 这两个站点下小区的方位角和天线高度。</x:v>
      </x:c>
      <x:c r="C206" s="23" t="str">
        <x:v>查询 CBN-福州仓山-福州南站火车南站西北美化塔C-HRRH 和 CBN-深圳大梅沙U-H5H 这两个站点下小区的方位角和天线高度</x:v>
      </x:c>
      <x:c r="D206" s="23" t="str">
        <x:v>AICO总结</x:v>
      </x:c>
      <x:c r="E206" s="23" t="str">
        <x:v>无tool_calls</x:v>
      </x:c>
      <x:c r="F206" s="21" t="n">
        <x:v>1</x:v>
      </x:c>
      <x:c r="G206" s="21" t="str">
        <x:v>2026-08-14T07:35:30.520</x:v>
      </x:c>
      <x:c r="H206" s="36" t="n">
        <x:v>4010.728</x:v>
      </x:c>
      <x:c r="I206" s="36" t="n">
        <x:f>H206/1000</x:f>
        <x:v>4.010728</x:v>
      </x:c>
      <x:c r="J206" s="21" t="str">
        <x:v>dsv_modify_0814/dsv4_3_aico.jsonl</x:v>
      </x:c>
      <x:c r="K206" s="21" t="n">
        <x:v>87</x:v>
      </x:c>
      <x:c r="L206" s="21" t="str">
        <x:v>original精确文本</x:v>
      </x:c>
    </x:row>
    <x:row r="207">
      <x:c r="A207" s="38" t="n">
        <x:v>30</x:v>
      </x:c>
      <x:c r="B207" s="23" t="str">
        <x:v>确认一下 CBN-福州仓山-福州南站火车南站西北美化塔C-HRRH 和 CBN-深圳大梅沙U-H5H 这两个站点下小区的方位角和天线高度。</x:v>
      </x:c>
      <x:c r="C207" s="23" t="str">
        <x:v>查询 CBN-福州仓山-福州南站火车南站西北美化塔C-HRRH 和 CBN-深圳大梅沙U-H5H 这两个站点下小区的方位角和天线高度</x:v>
      </x:c>
      <x:c r="D207" s="23" t="str">
        <x:v>问题推荐</x:v>
      </x:c>
      <x:c r="E207" s="23" t="str">
        <x:v>后续问题推荐</x:v>
      </x:c>
      <x:c r="F207" s="21" t="n">
        <x:v>1</x:v>
      </x:c>
      <x:c r="G207" s="21" t="str">
        <x:v>2026-08-14T07:35:34.817</x:v>
      </x:c>
      <x:c r="H207" s="36" t="n">
        <x:v>4811.825</x:v>
      </x:c>
      <x:c r="I207" s="36" t="n">
        <x:f>H207/1000</x:f>
        <x:v>4.811825</x:v>
      </x:c>
      <x:c r="J207" s="21" t="str">
        <x:v>dsv_modify_0814/dsv4_3_recipe_ds.jsonl</x:v>
      </x:c>
      <x:c r="K207" s="21" t="n">
        <x:v>58</x:v>
      </x:c>
      <x:c r="L207" s="21" t="str">
        <x:v>original精确文本</x:v>
      </x:c>
    </x:row>
    <x:row r="208">
      <x:c r="A208" s="38" t="n">
        <x:v>31</x:v>
      </x:c>
      <x:c r="B208" s="23" t="str">
        <x:v>帮我查一下深圳大梅沙D-HRH站点下5G小区的小区名称和方位角。</x:v>
      </x:c>
      <x:c r="C208" s="23" t="str"/>
      <x:c r="D208" s="23" t="str">
        <x:v>AICO总结</x:v>
      </x:c>
      <x:c r="E208" s="23" t="str">
        <x:v>无tool_calls</x:v>
      </x:c>
      <x:c r="F208" s="21" t="n">
        <x:v>1</x:v>
      </x:c>
      <x:c r="G208" s="21" t="str">
        <x:v>2026-08-14T07:35:35.687</x:v>
      </x:c>
      <x:c r="H208" s="36" t="n">
        <x:v>2210.428</x:v>
      </x:c>
      <x:c r="I208" s="36" t="n">
        <x:f>H208/1000</x:f>
        <x:v>2.210428</x:v>
      </x:c>
      <x:c r="J208" s="21" t="str">
        <x:v>dsv_modify_0814/dsv4_3_aico.jsonl</x:v>
      </x:c>
      <x:c r="K208" s="21" t="n">
        <x:v>88</x:v>
      </x:c>
      <x:c r="L208" s="21" t="str">
        <x:v>original精确文本</x:v>
      </x:c>
    </x:row>
    <x:row r="209">
      <x:c r="A209" s="38" t="n">
        <x:v>31</x:v>
      </x:c>
      <x:c r="B209" s="23" t="str">
        <x:v>帮我查一下深圳大梅沙D-HRH站点下5G小区的小区名称和方位角。</x:v>
      </x:c>
      <x:c r="C209" s="23" t="str"/>
      <x:c r="D209" s="23" t="str">
        <x:v>问题推荐</x:v>
      </x:c>
      <x:c r="E209" s="23" t="str">
        <x:v>后续问题推荐</x:v>
      </x:c>
      <x:c r="F209" s="21" t="n">
        <x:v>1</x:v>
      </x:c>
      <x:c r="G209" s="21" t="str">
        <x:v>2026-08-14T07:35:37.999</x:v>
      </x:c>
      <x:c r="H209" s="36" t="n">
        <x:v>4980.824</x:v>
      </x:c>
      <x:c r="I209" s="36" t="n">
        <x:f>H209/1000</x:f>
        <x:v>4.980823999999999</x:v>
      </x:c>
      <x:c r="J209" s="21" t="str">
        <x:v>dsv_modify_0814/dsv4_3_recipe_ds.jsonl</x:v>
      </x:c>
      <x:c r="K209" s="21" t="n">
        <x:v>59</x:v>
      </x:c>
      <x:c r="L209" s="21" t="str">
        <x:v>original精确文本</x:v>
      </x:c>
    </x:row>
    <x:row r="210">
      <x:c r="A210" s="38" t="n">
        <x:v>32</x:v>
      </x:c>
      <x:c r="B210" s="23" t="str">
        <x:v>看一下CBN-深圳大梅沙二U-H5H-0712这个NR小区的机械下倾角和电子下倾角。</x:v>
      </x:c>
      <x:c r="C210" s="23" t="str">
        <x:v>查询CBN-深圳大梅沙二U-H5H-0712这个NR小区的机械下倾角和电子下倾角</x:v>
      </x:c>
      <x:c r="D210" s="23" t="str">
        <x:v>AICO Tool Call - Skill</x:v>
      </x:c>
      <x:c r="E210" s="23" t="str">
        <x:v>Skill</x:v>
      </x:c>
      <x:c r="F210" s="21" t="n">
        <x:v>1</x:v>
      </x:c>
      <x:c r="G210" s="21" t="str">
        <x:v>2026-08-14T07:35:39.010</x:v>
      </x:c>
      <x:c r="H210" s="36" t="n">
        <x:v>3508.294</x:v>
      </x:c>
      <x:c r="I210" s="36" t="n">
        <x:f>H210/1000</x:f>
        <x:v>3.508294</x:v>
      </x:c>
      <x:c r="J210" s="21" t="str">
        <x:v>dsv_modify_0814/dsv4_3_aico.jsonl</x:v>
      </x:c>
      <x:c r="K210" s="21" t="n">
        <x:v>89</x:v>
      </x:c>
      <x:c r="L210" s="21" t="str">
        <x:v>original精确文本</x:v>
      </x:c>
    </x:row>
    <x:row r="211">
      <x:c r="A211" s="38" t="n">
        <x:v>32</x:v>
      </x:c>
      <x:c r="B211" s="23" t="str">
        <x:v>看一下CBN-深圳大梅沙二U-H5H-0712这个NR小区的机械下倾角和电子下倾角。</x:v>
      </x:c>
      <x:c r="C211" s="23" t="str">
        <x:v>查询CBN-深圳大梅沙二U-H5H-0712这个NR小区的机械下倾角和电子下倾角</x:v>
      </x:c>
      <x:c r="D211" s="23" t="str">
        <x:v>AICO Tool Call - Workflow</x:v>
      </x:c>
      <x:c r="E211" s="23" t="str">
        <x:v>Workflow</x:v>
      </x:c>
      <x:c r="F211" s="21" t="n">
        <x:v>1</x:v>
      </x:c>
      <x:c r="G211" s="21" t="str">
        <x:v>2026-08-14T07:35:42.706</x:v>
      </x:c>
      <x:c r="H211" s="36" t="n">
        <x:v>2549.353</x:v>
      </x:c>
      <x:c r="I211" s="36" t="n">
        <x:f>H211/1000</x:f>
        <x:v>2.549353</x:v>
      </x:c>
      <x:c r="J211" s="21" t="str">
        <x:v>dsv_modify_0814/dsv4_3_aico.jsonl</x:v>
      </x:c>
      <x:c r="K211" s="21" t="n">
        <x:v>90</x:v>
      </x:c>
      <x:c r="L211" s="21" t="str">
        <x:v>original精确文本</x:v>
      </x:c>
    </x:row>
    <x:row r="212">
      <x:c r="A212" s="38" t="n">
        <x:v>32</x:v>
      </x:c>
      <x:c r="B212" s="23" t="str">
        <x:v>看一下CBN-深圳大梅沙二U-H5H-0712这个NR小区的机械下倾角和电子下倾角。</x:v>
      </x:c>
      <x:c r="C212" s="23" t="str">
        <x:v>查询CBN-深圳大梅沙二U-H5H-0712这个NR小区的机械下倾角和电子下倾角</x:v>
      </x:c>
      <x:c r="D212" s="23" t="str">
        <x:v>Recipe - DeepSeek</x:v>
      </x:c>
      <x:c r="E212" s="23" t="str">
        <x:v>DeepSeek recipe调用</x:v>
      </x:c>
      <x:c r="F212" s="21" t="n">
        <x:v>1</x:v>
      </x:c>
      <x:c r="G212" s="21" t="str">
        <x:v>2026-08-14T07:35:46.621</x:v>
      </x:c>
      <x:c r="H212" s="36" t="n">
        <x:v>1729.572</x:v>
      </x:c>
      <x:c r="I212" s="36" t="n">
        <x:f>H212/1000</x:f>
        <x:v>1.7295719999999999</x:v>
      </x:c>
      <x:c r="J212" s="21" t="str">
        <x:v>dsv_modify_0814/dsv4_3_recipe_ds.jsonl</x:v>
      </x:c>
      <x:c r="K212" s="21" t="n">
        <x:v>60</x:v>
      </x:c>
      <x:c r="L212" s="21" t="str">
        <x:v>processed精确文本</x:v>
      </x:c>
    </x:row>
    <x:row r="213">
      <x:c r="A213" s="38" t="n">
        <x:v>32</x:v>
      </x:c>
      <x:c r="B213" s="23" t="str">
        <x:v>看一下CBN-深圳大梅沙二U-H5H-0712这个NR小区的机械下倾角和电子下倾角。</x:v>
      </x:c>
      <x:c r="C213" s="23" t="str">
        <x:v>查询CBN-深圳大梅沙二U-H5H-0712这个NR小区的机械下倾角和电子下倾角</x:v>
      </x:c>
      <x:c r="D213" s="23" t="str">
        <x:v>Recipe - Qwen执行</x:v>
      </x:c>
      <x:c r="E213" s="23" t="str">
        <x:v>同一问题第1次Qwen调用</x:v>
      </x:c>
      <x:c r="F213" s="21" t="n">
        <x:v>1</x:v>
      </x:c>
      <x:c r="G213" s="21" t="str">
        <x:v>2026-08-14T07:35:48.319</x:v>
      </x:c>
      <x:c r="H213" s="36" t="n">
        <x:v>2178.236</x:v>
      </x:c>
      <x:c r="I213" s="36" t="n">
        <x:f>H213/1000</x:f>
        <x:v>2.178236</x:v>
      </x:c>
      <x:c r="J213" s="21" t="str">
        <x:v>dsv_modify_0814/qwen_3.jsonl</x:v>
      </x:c>
      <x:c r="K213" s="21" t="n">
        <x:v>62</x:v>
      </x:c>
      <x:c r="L213" s="21" t="str">
        <x:v>processed精确文本</x:v>
      </x:c>
    </x:row>
    <x:row r="214">
      <x:c r="A214" s="38" t="n">
        <x:v>32</x:v>
      </x:c>
      <x:c r="B214" s="23" t="str">
        <x:v>看一下CBN-深圳大梅沙二U-H5H-0712这个NR小区的机械下倾角和电子下倾角。</x:v>
      </x:c>
      <x:c r="C214" s="23" t="str">
        <x:v>查询CBN-深圳大梅沙二U-H5H-0712这个NR小区的机械下倾角和电子下倾角</x:v>
      </x:c>
      <x:c r="D214" s="23" t="str">
        <x:v>Recipe - Qwen总结</x:v>
      </x:c>
      <x:c r="E214" s="23" t="str">
        <x:v>同一问题最后一次Qwen调用</x:v>
      </x:c>
      <x:c r="F214" s="21" t="n">
        <x:v>1</x:v>
      </x:c>
      <x:c r="G214" s="21" t="str">
        <x:v>2026-08-14T07:35:51.032</x:v>
      </x:c>
      <x:c r="H214" s="36" t="n">
        <x:v>1392.097</x:v>
      </x:c>
      <x:c r="I214" s="36" t="n">
        <x:f>H214/1000</x:f>
        <x:v>1.392097</x:v>
      </x:c>
      <x:c r="J214" s="21" t="str">
        <x:v>dsv_modify_0814/qwen_3.jsonl</x:v>
      </x:c>
      <x:c r="K214" s="21" t="n">
        <x:v>63</x:v>
      </x:c>
      <x:c r="L214" s="21" t="str">
        <x:v>processed精确文本</x:v>
      </x:c>
    </x:row>
    <x:row r="215">
      <x:c r="A215" s="38" t="n">
        <x:v>32</x:v>
      </x:c>
      <x:c r="B215" s="23" t="str">
        <x:v>看一下CBN-深圳大梅沙二U-H5H-0712这个NR小区的机械下倾角和电子下倾角。</x:v>
      </x:c>
      <x:c r="C215" s="23" t="str">
        <x:v>查询CBN-深圳大梅沙二U-H5H-0712这个NR小区的机械下倾角和电子下倾角</x:v>
      </x:c>
      <x:c r="D215" s="23" t="str">
        <x:v>AICO总结</x:v>
      </x:c>
      <x:c r="E215" s="23" t="str">
        <x:v>无tool_calls</x:v>
      </x:c>
      <x:c r="F215" s="21" t="n">
        <x:v>1</x:v>
      </x:c>
      <x:c r="G215" s="21" t="str">
        <x:v>2026-08-14T07:35:52.694</x:v>
      </x:c>
      <x:c r="H215" s="36" t="n">
        <x:v>2434.226</x:v>
      </x:c>
      <x:c r="I215" s="36" t="n">
        <x:f>H215/1000</x:f>
        <x:v>2.4342260000000002</x:v>
      </x:c>
      <x:c r="J215" s="21" t="str">
        <x:v>dsv_modify_0814/dsv4_3_aico.jsonl</x:v>
      </x:c>
      <x:c r="K215" s="21" t="n">
        <x:v>91</x:v>
      </x:c>
      <x:c r="L215" s="21" t="str">
        <x:v>original精确文本</x:v>
      </x:c>
    </x:row>
    <x:row r="216">
      <x:c r="A216" s="38" t="n">
        <x:v>32</x:v>
      </x:c>
      <x:c r="B216" s="23" t="str">
        <x:v>看一下CBN-深圳大梅沙二U-H5H-0712这个NR小区的机械下倾角和电子下倾角。</x:v>
      </x:c>
      <x:c r="C216" s="23" t="str">
        <x:v>查询CBN-深圳大梅沙二U-H5H-0712这个NR小区的机械下倾角和电子下倾角</x:v>
      </x:c>
      <x:c r="D216" s="23" t="str">
        <x:v>问题推荐</x:v>
      </x:c>
      <x:c r="E216" s="23" t="str">
        <x:v>后续问题推荐</x:v>
      </x:c>
      <x:c r="F216" s="21" t="n">
        <x:v>1</x:v>
      </x:c>
      <x:c r="G216" s="21" t="str">
        <x:v>2026-08-14T07:35:55.404</x:v>
      </x:c>
      <x:c r="H216" s="36" t="n">
        <x:v>3062.958</x:v>
      </x:c>
      <x:c r="I216" s="36" t="n">
        <x:f>H216/1000</x:f>
        <x:v>3.062958</x:v>
      </x:c>
      <x:c r="J216" s="21" t="str">
        <x:v>dsv_modify_0814/dsv4_3_recipe_ds.jsonl</x:v>
      </x:c>
      <x:c r="K216" s="21" t="n">
        <x:v>61</x:v>
      </x:c>
      <x:c r="L216" s="21" t="str">
        <x:v>original精确文本</x:v>
      </x:c>
    </x:row>
    <x:row r="217">
      <x:c r="A217" s="38" t="n">
        <x:v>33</x:v>
      </x:c>
      <x:c r="B217" s="23" t="str">
        <x:v>找出深圳奥特莱斯D-HRH和深圳梅沙湾二D-HRH这两个站点下5G小区的站点名称、经度和纬度。</x:v>
      </x:c>
      <x:c r="C217" s="23" t="str">
        <x:v>找出深圳奥特莱斯D-HRH和深圳梅沙湾二D-HRH这两个站点下5G小区的站点名称、经度和纬度</x:v>
      </x:c>
      <x:c r="D217" s="23" t="str">
        <x:v>AICO Tool Call - Skill</x:v>
      </x:c>
      <x:c r="E217" s="23" t="str">
        <x:v>Skill</x:v>
      </x:c>
      <x:c r="F217" s="21" t="n">
        <x:v>1</x:v>
      </x:c>
      <x:c r="G217" s="21" t="str">
        <x:v>2026-08-14T07:35:56.276</x:v>
      </x:c>
      <x:c r="H217" s="36" t="n">
        <x:v>3173.452</x:v>
      </x:c>
      <x:c r="I217" s="36" t="n">
        <x:f>H217/1000</x:f>
        <x:v>3.173452</x:v>
      </x:c>
      <x:c r="J217" s="21" t="str">
        <x:v>dsv_modify_0814/dsv4_3_aico.jsonl</x:v>
      </x:c>
      <x:c r="K217" s="21" t="n">
        <x:v>92</x:v>
      </x:c>
      <x:c r="L217" s="21" t="str">
        <x:v>original精确文本</x:v>
      </x:c>
    </x:row>
    <x:row r="218">
      <x:c r="A218" s="38" t="n">
        <x:v>33</x:v>
      </x:c>
      <x:c r="B218" s="23" t="str">
        <x:v>找出深圳奥特莱斯D-HRH和深圳梅沙湾二D-HRH这两个站点下5G小区的站点名称、经度和纬度。</x:v>
      </x:c>
      <x:c r="C218" s="23" t="str">
        <x:v>找出深圳奥特莱斯D-HRH和深圳梅沙湾二D-HRH这两个站点下5G小区的站点名称、经度和纬度</x:v>
      </x:c>
      <x:c r="D218" s="23" t="str">
        <x:v>AICO Tool Call - Workflow</x:v>
      </x:c>
      <x:c r="E218" s="23" t="str">
        <x:v>Workflow</x:v>
      </x:c>
      <x:c r="F218" s="21" t="n">
        <x:v>1</x:v>
      </x:c>
      <x:c r="G218" s="21" t="str">
        <x:v>2026-08-14T07:35:59.602</x:v>
      </x:c>
      <x:c r="H218" s="36" t="n">
        <x:v>2856.278</x:v>
      </x:c>
      <x:c r="I218" s="36" t="n">
        <x:f>H218/1000</x:f>
        <x:v>2.8562779999999997</x:v>
      </x:c>
      <x:c r="J218" s="21" t="str">
        <x:v>dsv_modify_0814/dsv4_3_aico.jsonl</x:v>
      </x:c>
      <x:c r="K218" s="21" t="n">
        <x:v>93</x:v>
      </x:c>
      <x:c r="L218" s="21" t="str">
        <x:v>original精确文本</x:v>
      </x:c>
    </x:row>
    <x:row r="219">
      <x:c r="A219" s="38" t="n">
        <x:v>33</x:v>
      </x:c>
      <x:c r="B219" s="23" t="str">
        <x:v>找出深圳奥特莱斯D-HRH和深圳梅沙湾二D-HRH这两个站点下5G小区的站点名称、经度和纬度。</x:v>
      </x:c>
      <x:c r="C219" s="23" t="str">
        <x:v>找出深圳奥特莱斯D-HRH和深圳梅沙湾二D-HRH这两个站点下5G小区的站点名称、经度和纬度</x:v>
      </x:c>
      <x:c r="D219" s="23" t="str">
        <x:v>Recipe - DeepSeek</x:v>
      </x:c>
      <x:c r="E219" s="23" t="str">
        <x:v>DeepSeek recipe调用</x:v>
      </x:c>
      <x:c r="F219" s="21" t="n">
        <x:v>1</x:v>
      </x:c>
      <x:c r="G219" s="21" t="str">
        <x:v>2026-08-14T07:36:03.613</x:v>
      </x:c>
      <x:c r="H219" s="36" t="n">
        <x:v>2212.092</x:v>
      </x:c>
      <x:c r="I219" s="36" t="n">
        <x:f>H219/1000</x:f>
        <x:v>2.212092</x:v>
      </x:c>
      <x:c r="J219" s="21" t="str">
        <x:v>dsv_modify_0814/dsv4_3_recipe_ds.jsonl</x:v>
      </x:c>
      <x:c r="K219" s="21" t="n">
        <x:v>62</x:v>
      </x:c>
      <x:c r="L219" s="21" t="str">
        <x:v>processed精确文本</x:v>
      </x:c>
    </x:row>
    <x:row r="220">
      <x:c r="A220" s="38" t="n">
        <x:v>33</x:v>
      </x:c>
      <x:c r="B220" s="23" t="str">
        <x:v>找出深圳奥特莱斯D-HRH和深圳梅沙湾二D-HRH这两个站点下5G小区的站点名称、经度和纬度。</x:v>
      </x:c>
      <x:c r="C220" s="23" t="str">
        <x:v>找出深圳奥特莱斯D-HRH和深圳梅沙湾二D-HRH这两个站点下5G小区的站点名称、经度和纬度</x:v>
      </x:c>
      <x:c r="D220" s="23" t="str">
        <x:v>Recipe - Qwen执行</x:v>
      </x:c>
      <x:c r="E220" s="23" t="str">
        <x:v>同一问题第1次Qwen调用</x:v>
      </x:c>
      <x:c r="F220" s="21" t="n">
        <x:v>1</x:v>
      </x:c>
      <x:c r="G220" s="21" t="str">
        <x:v>2026-08-14T07:36:06.164</x:v>
      </x:c>
      <x:c r="H220" s="36" t="n">
        <x:v>2600.707</x:v>
      </x:c>
      <x:c r="I220" s="36" t="n">
        <x:f>H220/1000</x:f>
        <x:v>2.600707</x:v>
      </x:c>
      <x:c r="J220" s="21" t="str">
        <x:v>dsv_modify_0814/qwen_3.jsonl</x:v>
      </x:c>
      <x:c r="K220" s="21" t="n">
        <x:v>64</x:v>
      </x:c>
      <x:c r="L220" s="21" t="str">
        <x:v>processed精确文本</x:v>
      </x:c>
    </x:row>
    <x:row r="221">
      <x:c r="A221" s="38" t="n">
        <x:v>33</x:v>
      </x:c>
      <x:c r="B221" s="23" t="str">
        <x:v>找出深圳奥特莱斯D-HRH和深圳梅沙湾二D-HRH这两个站点下5G小区的站点名称、经度和纬度。</x:v>
      </x:c>
      <x:c r="C221" s="23" t="str">
        <x:v>找出深圳奥特莱斯D-HRH和深圳梅沙湾二D-HRH这两个站点下5G小区的站点名称、经度和纬度</x:v>
      </x:c>
      <x:c r="D221" s="23" t="str">
        <x:v>Recipe - Qwen总结</x:v>
      </x:c>
      <x:c r="E221" s="23" t="str">
        <x:v>同一问题最后一次Qwen调用</x:v>
      </x:c>
      <x:c r="F221" s="21" t="n">
        <x:v>1</x:v>
      </x:c>
      <x:c r="G221" s="21" t="str">
        <x:v>2026-08-14T07:36:09.288</x:v>
      </x:c>
      <x:c r="H221" s="36" t="n">
        <x:v>3972.543</x:v>
      </x:c>
      <x:c r="I221" s="36" t="n">
        <x:f>H221/1000</x:f>
        <x:v>3.972543</x:v>
      </x:c>
      <x:c r="J221" s="21" t="str">
        <x:v>dsv_modify_0814/qwen_3.jsonl</x:v>
      </x:c>
      <x:c r="K221" s="21" t="n">
        <x:v>65</x:v>
      </x:c>
      <x:c r="L221" s="21" t="str">
        <x:v>processed精确文本</x:v>
      </x:c>
    </x:row>
    <x:row r="222">
      <x:c r="A222" s="38" t="n">
        <x:v>33</x:v>
      </x:c>
      <x:c r="B222" s="23" t="str">
        <x:v>找出深圳奥特莱斯D-HRH和深圳梅沙湾二D-HRH这两个站点下5G小区的站点名称、经度和纬度。</x:v>
      </x:c>
      <x:c r="C222" s="23" t="str">
        <x:v>找出深圳奥特莱斯D-HRH和深圳梅沙湾二D-HRH这两个站点下5G小区的站点名称、经度和纬度</x:v>
      </x:c>
      <x:c r="D222" s="23" t="str">
        <x:v>AICO总结</x:v>
      </x:c>
      <x:c r="E222" s="23" t="str">
        <x:v>无tool_calls</x:v>
      </x:c>
      <x:c r="F222" s="21" t="n">
        <x:v>1</x:v>
      </x:c>
      <x:c r="G222" s="21" t="str">
        <x:v>2026-08-14T07:36:13.529</x:v>
      </x:c>
      <x:c r="H222" s="36" t="n">
        <x:v>3565.45</x:v>
      </x:c>
      <x:c r="I222" s="36" t="n">
        <x:f>H222/1000</x:f>
        <x:v>3.56545</x:v>
      </x:c>
      <x:c r="J222" s="21" t="str">
        <x:v>dsv_modify_0814/dsv4_3_aico.jsonl</x:v>
      </x:c>
      <x:c r="K222" s="21" t="n">
        <x:v>94</x:v>
      </x:c>
      <x:c r="L222" s="21" t="str">
        <x:v>original精确文本</x:v>
      </x:c>
    </x:row>
    <x:row r="223">
      <x:c r="A223" s="38" t="n">
        <x:v>33</x:v>
      </x:c>
      <x:c r="B223" s="23" t="str">
        <x:v>找出深圳奥特莱斯D-HRH和深圳梅沙湾二D-HRH这两个站点下5G小区的站点名称、经度和纬度。</x:v>
      </x:c>
      <x:c r="C223" s="23" t="str">
        <x:v>找出深圳奥特莱斯D-HRH和深圳梅沙湾二D-HRH这两个站点下5G小区的站点名称、经度和纬度</x:v>
      </x:c>
      <x:c r="D223" s="23" t="str">
        <x:v>问题推荐</x:v>
      </x:c>
      <x:c r="E223" s="23" t="str">
        <x:v>后续问题推荐</x:v>
      </x:c>
      <x:c r="F223" s="21" t="n">
        <x:v>1</x:v>
      </x:c>
      <x:c r="G223" s="21" t="str">
        <x:v>2026-08-14T07:36:17.659</x:v>
      </x:c>
      <x:c r="H223" s="36" t="n">
        <x:v>3374.586</x:v>
      </x:c>
      <x:c r="I223" s="36" t="n">
        <x:f>H223/1000</x:f>
        <x:v>3.374586</x:v>
      </x:c>
      <x:c r="J223" s="21" t="str">
        <x:v>dsv_modify_0814/dsv4_3_recipe_ds.jsonl</x:v>
      </x:c>
      <x:c r="K223" s="21" t="n">
        <x:v>63</x:v>
      </x:c>
      <x:c r="L223" s="21" t="str">
        <x:v>original精确文本</x:v>
      </x:c>
    </x:row>
    <x:row r="224">
      <x:c r="A224" s="38" t="n">
        <x:v>34</x:v>
      </x:c>
      <x:c r="B224" s="23" t="str">
        <x:v>确认一下CBN-福州仓山-福州火车南站C-HRHH-521这个5G小区的小区标识和移动网号。</x:v>
      </x:c>
      <x:c r="C224" s="23" t="str">
        <x:v>查询CBN-福州仓山-福州火车南站C-HRHH-521这个5G小区的小区标识和移动网号</x:v>
      </x:c>
      <x:c r="D224" s="23" t="str">
        <x:v>AICO Tool Call - Skill</x:v>
      </x:c>
      <x:c r="E224" s="23" t="str">
        <x:v>Skill</x:v>
      </x:c>
      <x:c r="F224" s="21" t="n">
        <x:v>1</x:v>
      </x:c>
      <x:c r="G224" s="21" t="str">
        <x:v>2026-08-14T07:36:18.450</x:v>
      </x:c>
      <x:c r="H224" s="36" t="n">
        <x:v>2537.255</x:v>
      </x:c>
      <x:c r="I224" s="36" t="n">
        <x:f>H224/1000</x:f>
        <x:v>2.537255</x:v>
      </x:c>
      <x:c r="J224" s="21" t="str">
        <x:v>dsv_modify_0814/dsv4_3_aico.jsonl</x:v>
      </x:c>
      <x:c r="K224" s="21" t="n">
        <x:v>95</x:v>
      </x:c>
      <x:c r="L224" s="21" t="str">
        <x:v>original精确文本</x:v>
      </x:c>
    </x:row>
    <x:row r="225">
      <x:c r="A225" s="38" t="n">
        <x:v>34</x:v>
      </x:c>
      <x:c r="B225" s="23" t="str">
        <x:v>确认一下CBN-福州仓山-福州火车南站C-HRHH-521这个5G小区的小区标识和移动网号。</x:v>
      </x:c>
      <x:c r="C225" s="23" t="str">
        <x:v>查询CBN-福州仓山-福州火车南站C-HRHH-521这个5G小区的小区标识和移动网号</x:v>
      </x:c>
      <x:c r="D225" s="23" t="str">
        <x:v>AICO Tool Call - Workflow</x:v>
      </x:c>
      <x:c r="E225" s="23" t="str">
        <x:v>Workflow</x:v>
      </x:c>
      <x:c r="F225" s="21" t="n">
        <x:v>1</x:v>
      </x:c>
      <x:c r="G225" s="21" t="str">
        <x:v>2026-08-14T07:36:21.151</x:v>
      </x:c>
      <x:c r="H225" s="36" t="n">
        <x:v>2386.296</x:v>
      </x:c>
      <x:c r="I225" s="36" t="n">
        <x:f>H225/1000</x:f>
        <x:v>2.3862959999999998</x:v>
      </x:c>
      <x:c r="J225" s="21" t="str">
        <x:v>dsv_modify_0814/dsv4_3_aico.jsonl</x:v>
      </x:c>
      <x:c r="K225" s="21" t="n">
        <x:v>96</x:v>
      </x:c>
      <x:c r="L225" s="21" t="str">
        <x:v>original精确文本</x:v>
      </x:c>
    </x:row>
    <x:row r="226">
      <x:c r="A226" s="38" t="n">
        <x:v>34</x:v>
      </x:c>
      <x:c r="B226" s="23" t="str">
        <x:v>确认一下CBN-福州仓山-福州火车南站C-HRHH-521这个5G小区的小区标识和移动网号。</x:v>
      </x:c>
      <x:c r="C226" s="23" t="str">
        <x:v>查询CBN-福州仓山-福州火车南站C-HRHH-521这个5G小区的小区标识和移动网号</x:v>
      </x:c>
      <x:c r="D226" s="23" t="str">
        <x:v>Recipe - DeepSeek</x:v>
      </x:c>
      <x:c r="E226" s="23" t="str">
        <x:v>DeepSeek recipe调用</x:v>
      </x:c>
      <x:c r="F226" s="21" t="n">
        <x:v>1</x:v>
      </x:c>
      <x:c r="G226" s="21" t="str">
        <x:v>2026-08-14T07:36:25.239</x:v>
      </x:c>
      <x:c r="H226" s="36" t="n">
        <x:v>1845.867</x:v>
      </x:c>
      <x:c r="I226" s="36" t="n">
        <x:f>H226/1000</x:f>
        <x:v>1.845867</x:v>
      </x:c>
      <x:c r="J226" s="21" t="str">
        <x:v>dsv_modify_0814/dsv4_3_recipe_ds.jsonl</x:v>
      </x:c>
      <x:c r="K226" s="21" t="n">
        <x:v>64</x:v>
      </x:c>
      <x:c r="L226" s="21" t="str">
        <x:v>processed精确文本</x:v>
      </x:c>
    </x:row>
    <x:row r="227">
      <x:c r="A227" s="38" t="n">
        <x:v>34</x:v>
      </x:c>
      <x:c r="B227" s="23" t="str">
        <x:v>确认一下CBN-福州仓山-福州火车南站C-HRHH-521这个5G小区的小区标识和移动网号。</x:v>
      </x:c>
      <x:c r="C227" s="23" t="str">
        <x:v>查询CBN-福州仓山-福州火车南站C-HRHH-521这个5G小区的小区标识和移动网号</x:v>
      </x:c>
      <x:c r="D227" s="23" t="str">
        <x:v>Recipe - Qwen执行</x:v>
      </x:c>
      <x:c r="E227" s="23" t="str">
        <x:v>同一问题第1次Qwen调用</x:v>
      </x:c>
      <x:c r="F227" s="21" t="n">
        <x:v>1</x:v>
      </x:c>
      <x:c r="G227" s="21" t="str">
        <x:v>2026-08-14T07:36:27.418</x:v>
      </x:c>
      <x:c r="H227" s="36" t="n">
        <x:v>1585.224</x:v>
      </x:c>
      <x:c r="I227" s="36" t="n">
        <x:f>H227/1000</x:f>
        <x:v>1.585224</x:v>
      </x:c>
      <x:c r="J227" s="21" t="str">
        <x:v>dsv_modify_0814/qwen_3.jsonl</x:v>
      </x:c>
      <x:c r="K227" s="21" t="n">
        <x:v>66</x:v>
      </x:c>
      <x:c r="L227" s="21" t="str">
        <x:v>processed精确文本</x:v>
      </x:c>
    </x:row>
    <x:row r="228">
      <x:c r="A228" s="38" t="n">
        <x:v>34</x:v>
      </x:c>
      <x:c r="B228" s="23" t="str">
        <x:v>确认一下CBN-福州仓山-福州火车南站C-HRHH-521这个5G小区的小区标识和移动网号。</x:v>
      </x:c>
      <x:c r="C228" s="23" t="str">
        <x:v>查询CBN-福州仓山-福州火车南站C-HRHH-521这个5G小区的小区标识和移动网号</x:v>
      </x:c>
      <x:c r="D228" s="23" t="str">
        <x:v>Recipe - Qwen总结</x:v>
      </x:c>
      <x:c r="E228" s="23" t="str">
        <x:v>同一问题最后一次Qwen调用</x:v>
      </x:c>
      <x:c r="F228" s="21" t="n">
        <x:v>1</x:v>
      </x:c>
      <x:c r="G228" s="21" t="str">
        <x:v>2026-08-14T07:36:29.621</x:v>
      </x:c>
      <x:c r="H228" s="36" t="n">
        <x:v>1956.733</x:v>
      </x:c>
      <x:c r="I228" s="36" t="n">
        <x:f>H228/1000</x:f>
        <x:v>1.956733</x:v>
      </x:c>
      <x:c r="J228" s="21" t="str">
        <x:v>dsv_modify_0814/qwen_3.jsonl</x:v>
      </x:c>
      <x:c r="K228" s="21" t="n">
        <x:v>67</x:v>
      </x:c>
      <x:c r="L228" s="21" t="str">
        <x:v>processed精确文本</x:v>
      </x:c>
    </x:row>
    <x:row r="229">
      <x:c r="A229" s="38" t="n">
        <x:v>34</x:v>
      </x:c>
      <x:c r="B229" s="23" t="str">
        <x:v>确认一下CBN-福州仓山-福州火车南站C-HRHH-521这个5G小区的小区标识和移动网号。</x:v>
      </x:c>
      <x:c r="C229" s="23" t="str">
        <x:v>查询CBN-福州仓山-福州火车南站C-HRHH-521这个5G小区的小区标识和移动网号</x:v>
      </x:c>
      <x:c r="D229" s="23" t="str">
        <x:v>AICO总结</x:v>
      </x:c>
      <x:c r="E229" s="23" t="str">
        <x:v>无tool_calls</x:v>
      </x:c>
      <x:c r="F229" s="21" t="n">
        <x:v>1</x:v>
      </x:c>
      <x:c r="G229" s="21" t="str">
        <x:v>2026-08-14T07:36:31.840</x:v>
      </x:c>
      <x:c r="H229" s="36" t="n">
        <x:v>2488.517</x:v>
      </x:c>
      <x:c r="I229" s="36" t="n">
        <x:f>H229/1000</x:f>
        <x:v>2.488517</x:v>
      </x:c>
      <x:c r="J229" s="21" t="str">
        <x:v>dsv_modify_0814/dsv4_3_aico.jsonl</x:v>
      </x:c>
      <x:c r="K229" s="21" t="n">
        <x:v>97</x:v>
      </x:c>
      <x:c r="L229" s="21" t="str">
        <x:v>original精确文本</x:v>
      </x:c>
    </x:row>
    <x:row r="230">
      <x:c r="A230" s="38" t="n">
        <x:v>34</x:v>
      </x:c>
      <x:c r="B230" s="23" t="str">
        <x:v>确认一下CBN-福州仓山-福州火车南站C-HRHH-521这个5G小区的小区标识和移动网号。</x:v>
      </x:c>
      <x:c r="C230" s="23" t="str">
        <x:v>查询CBN-福州仓山-福州火车南站C-HRHH-521这个5G小区的小区标识和移动网号</x:v>
      </x:c>
      <x:c r="D230" s="23" t="str">
        <x:v>问题推荐</x:v>
      </x:c>
      <x:c r="E230" s="23" t="str">
        <x:v>后续问题推荐</x:v>
      </x:c>
      <x:c r="F230" s="21" t="n">
        <x:v>1</x:v>
      </x:c>
      <x:c r="G230" s="21" t="str">
        <x:v>2026-08-14T07:36:34.609</x:v>
      </x:c>
      <x:c r="H230" s="36" t="n">
        <x:v>2762.88</x:v>
      </x:c>
      <x:c r="I230" s="36" t="n">
        <x:f>H230/1000</x:f>
        <x:v>2.76288</x:v>
      </x:c>
      <x:c r="J230" s="21" t="str">
        <x:v>dsv_modify_0814/dsv4_3_recipe_ds.jsonl</x:v>
      </x:c>
      <x:c r="K230" s="21" t="n">
        <x:v>65</x:v>
      </x:c>
      <x:c r="L230" s="21" t="str">
        <x:v>original精确文本</x:v>
      </x:c>
    </x:row>
    <x:row r="231">
      <x:c r="A231" s="38" t="n">
        <x:v>35</x:v>
      </x:c>
      <x:c r="B231" s="23" t="str">
        <x:v>帮我查CBN-深圳上威梅沙二U-H5H-0711和CBN-深圳东华风车U-H5H-0711这两个NR小区的方向角和天线高度。</x:v>
      </x:c>
      <x:c r="C231" s="23" t="str">
        <x:v>查询CBN-深圳上威梅沙二U-H5H-0711和CBN-深圳东华风车U-H5H-0711这两个NR小区的方向角和天线高度</x:v>
      </x:c>
      <x:c r="D231" s="23" t="str">
        <x:v>AICO Tool Call - Skill</x:v>
      </x:c>
      <x:c r="E231" s="23" t="str">
        <x:v>Skill</x:v>
      </x:c>
      <x:c r="F231" s="21" t="n">
        <x:v>1</x:v>
      </x:c>
      <x:c r="G231" s="21" t="str">
        <x:v>2026-08-14T07:36:35.480</x:v>
      </x:c>
      <x:c r="H231" s="36" t="n">
        <x:v>2589.912</x:v>
      </x:c>
      <x:c r="I231" s="36" t="n">
        <x:f>H231/1000</x:f>
        <x:v>2.589912</x:v>
      </x:c>
      <x:c r="J231" s="21" t="str">
        <x:v>dsv_modify_0814/dsv4_3_aico.jsonl</x:v>
      </x:c>
      <x:c r="K231" s="21" t="n">
        <x:v>98</x:v>
      </x:c>
      <x:c r="L231" s="21" t="str">
        <x:v>original精确文本</x:v>
      </x:c>
    </x:row>
    <x:row r="232">
      <x:c r="A232" s="38" t="n">
        <x:v>35</x:v>
      </x:c>
      <x:c r="B232" s="23" t="str">
        <x:v>帮我查CBN-深圳上威梅沙二U-H5H-0711和CBN-深圳东华风车U-H5H-0711这两个NR小区的方向角和天线高度。</x:v>
      </x:c>
      <x:c r="C232" s="23" t="str">
        <x:v>查询CBN-深圳上威梅沙二U-H5H-0711和CBN-深圳东华风车U-H5H-0711这两个NR小区的方向角和天线高度</x:v>
      </x:c>
      <x:c r="D232" s="23" t="str">
        <x:v>AICO Tool Call - Workflow</x:v>
      </x:c>
      <x:c r="E232" s="23" t="str">
        <x:v>Workflow</x:v>
      </x:c>
      <x:c r="F232" s="21" t="n">
        <x:v>1</x:v>
      </x:c>
      <x:c r="G232" s="21" t="str">
        <x:v>2026-08-14T07:36:38.223</x:v>
      </x:c>
      <x:c r="H232" s="36" t="n">
        <x:v>2475.369</x:v>
      </x:c>
      <x:c r="I232" s="36" t="n">
        <x:f>H232/1000</x:f>
        <x:v>2.475369</x:v>
      </x:c>
      <x:c r="J232" s="21" t="str">
        <x:v>dsv_modify_0814/dsv4_3_aico.jsonl</x:v>
      </x:c>
      <x:c r="K232" s="21" t="n">
        <x:v>99</x:v>
      </x:c>
      <x:c r="L232" s="21" t="str">
        <x:v>original精确文本</x:v>
      </x:c>
    </x:row>
    <x:row r="233">
      <x:c r="A233" s="38" t="n">
        <x:v>35</x:v>
      </x:c>
      <x:c r="B233" s="23" t="str">
        <x:v>帮我查CBN-深圳上威梅沙二U-H5H-0711和CBN-深圳东华风车U-H5H-0711这两个NR小区的方向角和天线高度。</x:v>
      </x:c>
      <x:c r="C233" s="23" t="str">
        <x:v>查询CBN-深圳上威梅沙二U-H5H-0711和CBN-深圳东华风车U-H5H-0711这两个NR小区的方向角和天线高度</x:v>
      </x:c>
      <x:c r="D233" s="23" t="str">
        <x:v>Recipe - DeepSeek</x:v>
      </x:c>
      <x:c r="E233" s="23" t="str">
        <x:v>DeepSeek recipe调用</x:v>
      </x:c>
      <x:c r="F233" s="21" t="n">
        <x:v>1</x:v>
      </x:c>
      <x:c r="G233" s="21" t="str">
        <x:v>2026-08-14T07:36:41.909</x:v>
      </x:c>
      <x:c r="H233" s="36" t="n">
        <x:v>2483.264</x:v>
      </x:c>
      <x:c r="I233" s="36" t="n">
        <x:f>H233/1000</x:f>
        <x:v>2.483264</x:v>
      </x:c>
      <x:c r="J233" s="21" t="str">
        <x:v>dsv_modify_0814/dsv4_3_recipe_ds.jsonl</x:v>
      </x:c>
      <x:c r="K233" s="21" t="n">
        <x:v>66</x:v>
      </x:c>
      <x:c r="L233" s="21" t="str">
        <x:v>processed精确文本</x:v>
      </x:c>
    </x:row>
    <x:row r="234">
      <x:c r="A234" s="38" t="n">
        <x:v>35</x:v>
      </x:c>
      <x:c r="B234" s="23" t="str">
        <x:v>帮我查CBN-深圳上威梅沙二U-H5H-0711和CBN-深圳东华风车U-H5H-0711这两个NR小区的方向角和天线高度。</x:v>
      </x:c>
      <x:c r="C234" s="23" t="str">
        <x:v>查询CBN-深圳上威梅沙二U-H5H-0711和CBN-深圳东华风车U-H5H-0711这两个NR小区的方向角和天线高度</x:v>
      </x:c>
      <x:c r="D234" s="23" t="str">
        <x:v>Recipe - Qwen执行</x:v>
      </x:c>
      <x:c r="E234" s="23" t="str">
        <x:v>同一问题第1次Qwen调用</x:v>
      </x:c>
      <x:c r="F234" s="21" t="n">
        <x:v>1</x:v>
      </x:c>
      <x:c r="G234" s="21" t="str">
        <x:v>2026-08-14T07:36:44.717</x:v>
      </x:c>
      <x:c r="H234" s="36" t="n">
        <x:v>1738.598</x:v>
      </x:c>
      <x:c r="I234" s="36" t="n">
        <x:f>H234/1000</x:f>
        <x:v>1.7385979999999999</x:v>
      </x:c>
      <x:c r="J234" s="21" t="str">
        <x:v>dsv_modify_0814/qwen_3.jsonl</x:v>
      </x:c>
      <x:c r="K234" s="21" t="n">
        <x:v>68</x:v>
      </x:c>
      <x:c r="L234" s="21" t="str">
        <x:v>processed精确文本</x:v>
      </x:c>
    </x:row>
    <x:row r="235">
      <x:c r="A235" s="38" t="n">
        <x:v>35</x:v>
      </x:c>
      <x:c r="B235" s="23" t="str">
        <x:v>帮我查CBN-深圳上威梅沙二U-H5H-0711和CBN-深圳东华风车U-H5H-0711这两个NR小区的方向角和天线高度。</x:v>
      </x:c>
      <x:c r="C235" s="23" t="str">
        <x:v>查询CBN-深圳上威梅沙二U-H5H-0711和CBN-深圳东华风车U-H5H-0711这两个NR小区的方向角和天线高度</x:v>
      </x:c>
      <x:c r="D235" s="23" t="str">
        <x:v>Recipe - Qwen总结</x:v>
      </x:c>
      <x:c r="E235" s="23" t="str">
        <x:v>同一问题最后一次Qwen调用</x:v>
      </x:c>
      <x:c r="F235" s="21" t="n">
        <x:v>1</x:v>
      </x:c>
      <x:c r="G235" s="21" t="str">
        <x:v>2026-08-14T07:36:47.416</x:v>
      </x:c>
      <x:c r="H235" s="36" t="n">
        <x:v>2851.635</x:v>
      </x:c>
      <x:c r="I235" s="36" t="n">
        <x:f>H235/1000</x:f>
        <x:v>2.8516350000000004</x:v>
      </x:c>
      <x:c r="J235" s="21" t="str">
        <x:v>dsv_modify_0814/qwen_3.jsonl</x:v>
      </x:c>
      <x:c r="K235" s="21" t="n">
        <x:v>69</x:v>
      </x:c>
      <x:c r="L235" s="21" t="str">
        <x:v>processed精确文本</x:v>
      </x:c>
    </x:row>
    <x:row r="236">
      <x:c r="A236" s="38" t="n">
        <x:v>35</x:v>
      </x:c>
      <x:c r="B236" s="23" t="str">
        <x:v>帮我查CBN-深圳上威梅沙二U-H5H-0711和CBN-深圳东华风车U-H5H-0711这两个NR小区的方向角和天线高度。</x:v>
      </x:c>
      <x:c r="C236" s="23" t="str">
        <x:v>查询CBN-深圳上威梅沙二U-H5H-0711和CBN-深圳东华风车U-H5H-0711这两个NR小区的方向角和天线高度</x:v>
      </x:c>
      <x:c r="D236" s="23" t="str">
        <x:v>AICO总结</x:v>
      </x:c>
      <x:c r="E236" s="23" t="str">
        <x:v>无tool_calls</x:v>
      </x:c>
      <x:c r="F236" s="21" t="n">
        <x:v>1</x:v>
      </x:c>
      <x:c r="G236" s="21" t="str">
        <x:v>2026-08-14T07:36:50.080</x:v>
      </x:c>
      <x:c r="H236" s="36" t="n">
        <x:v>2978.944</x:v>
      </x:c>
      <x:c r="I236" s="36" t="n">
        <x:f>H236/1000</x:f>
        <x:v>2.978944</x:v>
      </x:c>
      <x:c r="J236" s="21" t="str">
        <x:v>dsv_modify_0814/dsv4_3_aico.jsonl</x:v>
      </x:c>
      <x:c r="K236" s="21" t="n">
        <x:v>100</x:v>
      </x:c>
      <x:c r="L236" s="21" t="str">
        <x:v>original精确文本</x:v>
      </x:c>
    </x:row>
    <x:row r="237">
      <x:c r="A237" s="38" t="n">
        <x:v>35</x:v>
      </x:c>
      <x:c r="B237" s="23" t="str">
        <x:v>帮我查CBN-深圳上威梅沙二U-H5H-0711和CBN-深圳东华风车U-H5H-0711这两个NR小区的方向角和天线高度。</x:v>
      </x:c>
      <x:c r="C237" s="23" t="str">
        <x:v>查询CBN-深圳上威梅沙二U-H5H-0711和CBN-深圳东华风车U-H5H-0711这两个NR小区的方向角和天线高度</x:v>
      </x:c>
      <x:c r="D237" s="23" t="str">
        <x:v>问题推荐</x:v>
      </x:c>
      <x:c r="E237" s="23" t="str">
        <x:v>后续问题推荐</x:v>
      </x:c>
      <x:c r="F237" s="21" t="n">
        <x:v>1</x:v>
      </x:c>
      <x:c r="G237" s="21" t="str">
        <x:v>2026-08-14T07:36:53.804</x:v>
      </x:c>
      <x:c r="H237" s="36" t="n">
        <x:v>3010.074</x:v>
      </x:c>
      <x:c r="I237" s="36" t="n">
        <x:f>H237/1000</x:f>
        <x:v>3.010074</x:v>
      </x:c>
      <x:c r="J237" s="21" t="str">
        <x:v>dsv_modify_0814/dsv4_3_recipe_ds.jsonl</x:v>
      </x:c>
      <x:c r="K237" s="21" t="n">
        <x:v>67</x:v>
      </x:c>
      <x:c r="L237" s="21" t="str">
        <x:v>original精确文本</x:v>
      </x:c>
    </x:row>
    <x:row r="238">
      <x:c r="A238" s="38" t="n">
        <x:v>36</x:v>
      </x:c>
      <x:c r="B238" s="23" t="str">
        <x:v>帮我查一下深圳大梅沙海滨公园D-HRW站点下，天线高度超过30米的小区，返回小区名称、天线高度和方位角。</x:v>
      </x:c>
      <x:c r="C238" s="23" t="str">
        <x:v>查询深圳大梅沙海滨公园D-HRW站点下，天线高度超过30米的小区，返回小区名称、天线高度和方位角</x:v>
      </x:c>
      <x:c r="D238" s="23" t="str">
        <x:v>AICO Tool Call - Skill</x:v>
      </x:c>
      <x:c r="E238" s="23" t="str">
        <x:v>Skill</x:v>
      </x:c>
      <x:c r="F238" s="21" t="n">
        <x:v>1</x:v>
      </x:c>
      <x:c r="G238" s="21" t="str">
        <x:v>2026-08-14T07:36:54.691</x:v>
      </x:c>
      <x:c r="H238" s="36" t="n">
        <x:v>2683.981</x:v>
      </x:c>
      <x:c r="I238" s="36" t="n">
        <x:f>H238/1000</x:f>
        <x:v>2.683981</x:v>
      </x:c>
      <x:c r="J238" s="21" t="str">
        <x:v>dsv_modify_0814/dsv4_3_aico.jsonl</x:v>
      </x:c>
      <x:c r="K238" s="21" t="n">
        <x:v>101</x:v>
      </x:c>
      <x:c r="L238" s="21" t="str">
        <x:v>original精确文本</x:v>
      </x:c>
    </x:row>
    <x:row r="239">
      <x:c r="A239" s="38" t="n">
        <x:v>36</x:v>
      </x:c>
      <x:c r="B239" s="23" t="str">
        <x:v>帮我查一下深圳大梅沙海滨公园D-HRW站点下，天线高度超过30米的小区，返回小区名称、天线高度和方位角。</x:v>
      </x:c>
      <x:c r="C239" s="23" t="str">
        <x:v>查询深圳大梅沙海滨公园D-HRW站点下，天线高度超过30米的小区，返回小区名称、天线高度和方位角</x:v>
      </x:c>
      <x:c r="D239" s="23" t="str">
        <x:v>AICO Tool Call - Workflow</x:v>
      </x:c>
      <x:c r="E239" s="23" t="str">
        <x:v>Workflow</x:v>
      </x:c>
      <x:c r="F239" s="21" t="n">
        <x:v>1</x:v>
      </x:c>
      <x:c r="G239" s="21" t="str">
        <x:v>2026-08-14T07:36:57.532</x:v>
      </x:c>
      <x:c r="H239" s="36" t="n">
        <x:v>2376.467</x:v>
      </x:c>
      <x:c r="I239" s="36" t="n">
        <x:f>H239/1000</x:f>
        <x:v>2.376467</x:v>
      </x:c>
      <x:c r="J239" s="21" t="str">
        <x:v>dsv_modify_0814/dsv4_3_aico.jsonl</x:v>
      </x:c>
      <x:c r="K239" s="21" t="n">
        <x:v>102</x:v>
      </x:c>
      <x:c r="L239" s="21" t="str">
        <x:v>original精确文本</x:v>
      </x:c>
    </x:row>
    <x:row r="240">
      <x:c r="A240" s="38" t="n">
        <x:v>36</x:v>
      </x:c>
      <x:c r="B240" s="23" t="str">
        <x:v>帮我查一下深圳大梅沙海滨公园D-HRW站点下，天线高度超过30米的小区，返回小区名称、天线高度和方位角。</x:v>
      </x:c>
      <x:c r="C240" s="23" t="str">
        <x:v>查询深圳大梅沙海滨公园D-HRW站点下，天线高度超过30米的小区，返回小区名称、天线高度和方位角</x:v>
      </x:c>
      <x:c r="D240" s="23" t="str">
        <x:v>Recipe - DeepSeek</x:v>
      </x:c>
      <x:c r="E240" s="23" t="str">
        <x:v>DeepSeek recipe调用</x:v>
      </x:c>
      <x:c r="F240" s="21" t="n">
        <x:v>1</x:v>
      </x:c>
      <x:c r="G240" s="21" t="str">
        <x:v>2026-08-14T07:37:01.286</x:v>
      </x:c>
      <x:c r="H240" s="36" t="n">
        <x:v>2443.315</x:v>
      </x:c>
      <x:c r="I240" s="36" t="n">
        <x:f>H240/1000</x:f>
        <x:v>2.443315</x:v>
      </x:c>
      <x:c r="J240" s="21" t="str">
        <x:v>dsv_modify_0814/dsv4_3_recipe_ds.jsonl</x:v>
      </x:c>
      <x:c r="K240" s="21" t="n">
        <x:v>68</x:v>
      </x:c>
      <x:c r="L240" s="21" t="str">
        <x:v>processed精确文本</x:v>
      </x:c>
    </x:row>
    <x:row r="241">
      <x:c r="A241" s="38" t="n">
        <x:v>36</x:v>
      </x:c>
      <x:c r="B241" s="23" t="str">
        <x:v>帮我查一下深圳大梅沙海滨公园D-HRW站点下，天线高度超过30米的小区，返回小区名称、天线高度和方位角。</x:v>
      </x:c>
      <x:c r="C241" s="23" t="str">
        <x:v>查询深圳大梅沙海滨公园D-HRW站点下，天线高度超过30米的小区，返回小区名称、天线高度和方位角</x:v>
      </x:c>
      <x:c r="D241" s="23" t="str">
        <x:v>Recipe - Qwen执行</x:v>
      </x:c>
      <x:c r="E241" s="23" t="str">
        <x:v>同一问题第1次Qwen调用</x:v>
      </x:c>
      <x:c r="F241" s="21" t="n">
        <x:v>1</x:v>
      </x:c>
      <x:c r="G241" s="21" t="str">
        <x:v>2026-08-14T07:37:04.060</x:v>
      </x:c>
      <x:c r="H241" s="36" t="n">
        <x:v>2931.294</x:v>
      </x:c>
      <x:c r="I241" s="36" t="n">
        <x:f>H241/1000</x:f>
        <x:v>2.931294</x:v>
      </x:c>
      <x:c r="J241" s="21" t="str">
        <x:v>dsv_modify_0814/qwen_3.jsonl</x:v>
      </x:c>
      <x:c r="K241" s="21" t="n">
        <x:v>70</x:v>
      </x:c>
      <x:c r="L241" s="21" t="str">
        <x:v>processed精确文本</x:v>
      </x:c>
    </x:row>
    <x:row r="242">
      <x:c r="A242" s="38" t="n">
        <x:v>36</x:v>
      </x:c>
      <x:c r="B242" s="23" t="str">
        <x:v>帮我查一下深圳大梅沙海滨公园D-HRW站点下，天线高度超过30米的小区，返回小区名称、天线高度和方位角。</x:v>
      </x:c>
      <x:c r="C242" s="23" t="str">
        <x:v>查询深圳大梅沙海滨公园D-HRW站点下，天线高度超过30米的小区，返回小区名称、天线高度和方位角</x:v>
      </x:c>
      <x:c r="D242" s="23" t="str">
        <x:v>Recipe - Qwen总结</x:v>
      </x:c>
      <x:c r="E242" s="23" t="str">
        <x:v>同一问题最后一次Qwen调用</x:v>
      </x:c>
      <x:c r="F242" s="21" t="n">
        <x:v>1</x:v>
      </x:c>
      <x:c r="G242" s="21" t="str">
        <x:v>2026-08-14T07:37:07.480</x:v>
      </x:c>
      <x:c r="H242" s="36" t="n">
        <x:v>1331.454</x:v>
      </x:c>
      <x:c r="I242" s="36" t="n">
        <x:f>H242/1000</x:f>
        <x:v>1.331454</x:v>
      </x:c>
      <x:c r="J242" s="21" t="str">
        <x:v>dsv_modify_0814/qwen_3.jsonl</x:v>
      </x:c>
      <x:c r="K242" s="21" t="n">
        <x:v>71</x:v>
      </x:c>
      <x:c r="L242" s="21" t="str">
        <x:v>processed精确文本</x:v>
      </x:c>
    </x:row>
    <x:row r="243">
      <x:c r="A243" s="38" t="n">
        <x:v>36</x:v>
      </x:c>
      <x:c r="B243" s="23" t="str">
        <x:v>帮我查一下深圳大梅沙海滨公园D-HRW站点下，天线高度超过30米的小区，返回小区名称、天线高度和方位角。</x:v>
      </x:c>
      <x:c r="C243" s="23" t="str">
        <x:v>查询深圳大梅沙海滨公园D-HRW站点下，天线高度超过30米的小区，返回小区名称、天线高度和方位角</x:v>
      </x:c>
      <x:c r="D243" s="23" t="str">
        <x:v>AICO总结</x:v>
      </x:c>
      <x:c r="E243" s="23" t="str">
        <x:v>无tool_calls</x:v>
      </x:c>
      <x:c r="F243" s="21" t="n">
        <x:v>1</x:v>
      </x:c>
      <x:c r="G243" s="21" t="str">
        <x:v>2026-08-14T07:37:09.105</x:v>
      </x:c>
      <x:c r="H243" s="36" t="n">
        <x:v>2402.721</x:v>
      </x:c>
      <x:c r="I243" s="36" t="n">
        <x:f>H243/1000</x:f>
        <x:v>2.402721</x:v>
      </x:c>
      <x:c r="J243" s="21" t="str">
        <x:v>dsv_modify_0814/dsv4_3_aico.jsonl</x:v>
      </x:c>
      <x:c r="K243" s="21" t="n">
        <x:v>103</x:v>
      </x:c>
      <x:c r="L243" s="21" t="str">
        <x:v>original精确文本</x:v>
      </x:c>
    </x:row>
    <x:row r="244">
      <x:c r="A244" s="38" t="n">
        <x:v>36</x:v>
      </x:c>
      <x:c r="B244" s="23" t="str">
        <x:v>帮我查一下深圳大梅沙海滨公园D-HRW站点下，天线高度超过30米的小区，返回小区名称、天线高度和方位角。</x:v>
      </x:c>
      <x:c r="C244" s="23" t="str">
        <x:v>查询深圳大梅沙海滨公园D-HRW站点下，天线高度超过30米的小区，返回小区名称、天线高度和方位角</x:v>
      </x:c>
      <x:c r="D244" s="23" t="str">
        <x:v>问题推荐</x:v>
      </x:c>
      <x:c r="E244" s="23" t="str">
        <x:v>后续问题推荐</x:v>
      </x:c>
      <x:c r="F244" s="21" t="n">
        <x:v>1</x:v>
      </x:c>
      <x:c r="G244" s="21" t="str">
        <x:v>2026-08-14T07:37:11.819</x:v>
      </x:c>
      <x:c r="H244" s="36" t="n">
        <x:v>3099.752</x:v>
      </x:c>
      <x:c r="I244" s="36" t="n">
        <x:f>H244/1000</x:f>
        <x:v>3.099752</x:v>
      </x:c>
      <x:c r="J244" s="21" t="str">
        <x:v>dsv_modify_0814/dsv4_3_recipe_ds.jsonl</x:v>
      </x:c>
      <x:c r="K244" s="21" t="n">
        <x:v>69</x:v>
      </x:c>
      <x:c r="L244" s="21" t="str">
        <x:v>original精确文本</x:v>
      </x:c>
    </x:row>
    <x:row r="245">
      <x:c r="A245" s="38" t="n">
        <x:v>37</x:v>
      </x:c>
      <x:c r="B245" s="23" t="str">
        <x:v>找出CBN-福州仓山-火车南站东南美化塔C-HRHH-518和CBN-福州仓山-福厦高铁鸡笼山隧道C-HRRH-513这两个5G小区中，机械下倾角在3到9之间的小区名称和机械下倾角。</x:v>
      </x:c>
      <x:c r="C245" s="23" t="str">
        <x:v>找出CBN-福州仓山-火车南站东南美化塔C-HRHH-518和CBN-福州仓山-福厦高铁鸡笼山隧道C-HRRH-513这两个5G小区中，机械下倾角在3到9之间的小区名称和机械下倾角</x:v>
      </x:c>
      <x:c r="D245" s="23" t="str">
        <x:v>AICO Tool Call - Skill</x:v>
      </x:c>
      <x:c r="E245" s="23" t="str">
        <x:v>Skill</x:v>
      </x:c>
      <x:c r="F245" s="21" t="n">
        <x:v>1</x:v>
      </x:c>
      <x:c r="G245" s="21" t="str">
        <x:v>2026-08-14T07:37:12.696</x:v>
      </x:c>
      <x:c r="H245" s="36" t="n">
        <x:v>2853.704</x:v>
      </x:c>
      <x:c r="I245" s="36" t="n">
        <x:f>H245/1000</x:f>
        <x:v>2.853704</x:v>
      </x:c>
      <x:c r="J245" s="21" t="str">
        <x:v>dsv_modify_0814/dsv4_3_aico.jsonl</x:v>
      </x:c>
      <x:c r="K245" s="21" t="n">
        <x:v>104</x:v>
      </x:c>
      <x:c r="L245" s="21" t="str">
        <x:v>original精确文本</x:v>
      </x:c>
    </x:row>
    <x:row r="246">
      <x:c r="A246" s="38" t="n">
        <x:v>37</x:v>
      </x:c>
      <x:c r="B246" s="23" t="str">
        <x:v>找出CBN-福州仓山-火车南站东南美化塔C-HRHH-518和CBN-福州仓山-福厦高铁鸡笼山隧道C-HRRH-513这两个5G小区中，机械下倾角在3到9之间的小区名称和机械下倾角。</x:v>
      </x:c>
      <x:c r="C246" s="23" t="str">
        <x:v>找出CBN-福州仓山-火车南站东南美化塔C-HRHH-518和CBN-福州仓山-福厦高铁鸡笼山隧道C-HRRH-513这两个5G小区中，机械下倾角在3到9之间的小区名称和机械下倾角</x:v>
      </x:c>
      <x:c r="D246" s="23" t="str">
        <x:v>AICO Tool Call - Workflow</x:v>
      </x:c>
      <x:c r="E246" s="23" t="str">
        <x:v>Workflow</x:v>
      </x:c>
      <x:c r="F246" s="21" t="n">
        <x:v>1</x:v>
      </x:c>
      <x:c r="G246" s="21" t="str">
        <x:v>2026-08-14T07:37:15.704</x:v>
      </x:c>
      <x:c r="H246" s="36" t="n">
        <x:v>2805.627</x:v>
      </x:c>
      <x:c r="I246" s="36" t="n">
        <x:f>H246/1000</x:f>
        <x:v>2.805627</x:v>
      </x:c>
      <x:c r="J246" s="21" t="str">
        <x:v>dsv_modify_0814/dsv4_3_aico.jsonl</x:v>
      </x:c>
      <x:c r="K246" s="21" t="n">
        <x:v>105</x:v>
      </x:c>
      <x:c r="L246" s="21" t="str">
        <x:v>original精确文本</x:v>
      </x:c>
    </x:row>
    <x:row r="247">
      <x:c r="A247" s="38" t="n">
        <x:v>37</x:v>
      </x:c>
      <x:c r="B247" s="23" t="str">
        <x:v>找出CBN-福州仓山-火车南站东南美化塔C-HRHH-518和CBN-福州仓山-福厦高铁鸡笼山隧道C-HRRH-513这两个5G小区中，机械下倾角在3到9之间的小区名称和机械下倾角。</x:v>
      </x:c>
      <x:c r="C247" s="23" t="str">
        <x:v>找出CBN-福州仓山-火车南站东南美化塔C-HRHH-518和CBN-福州仓山-福厦高铁鸡笼山隧道C-HRRH-513这两个5G小区中，机械下倾角在3到9之间的小区名称和机械下倾角</x:v>
      </x:c>
      <x:c r="D247" s="23" t="str">
        <x:v>Recipe - DeepSeek</x:v>
      </x:c>
      <x:c r="E247" s="23" t="str">
        <x:v>DeepSeek recipe调用</x:v>
      </x:c>
      <x:c r="F247" s="21" t="n">
        <x:v>1</x:v>
      </x:c>
      <x:c r="G247" s="21" t="str">
        <x:v>2026-08-14T07:37:19.895</x:v>
      </x:c>
      <x:c r="H247" s="36" t="n">
        <x:v>2687.487</x:v>
      </x:c>
      <x:c r="I247" s="36" t="n">
        <x:f>H247/1000</x:f>
        <x:v>2.687487</x:v>
      </x:c>
      <x:c r="J247" s="21" t="str">
        <x:v>dsv_modify_0814/dsv4_3_recipe_ds.jsonl</x:v>
      </x:c>
      <x:c r="K247" s="21" t="n">
        <x:v>70</x:v>
      </x:c>
      <x:c r="L247" s="21" t="str">
        <x:v>processed精确文本</x:v>
      </x:c>
    </x:row>
    <x:row r="248">
      <x:c r="A248" s="38" t="n">
        <x:v>37</x:v>
      </x:c>
      <x:c r="B248" s="23" t="str">
        <x:v>找出CBN-福州仓山-火车南站东南美化塔C-HRHH-518和CBN-福州仓山-福厦高铁鸡笼山隧道C-HRRH-513这两个5G小区中，机械下倾角在3到9之间的小区名称和机械下倾角。</x:v>
      </x:c>
      <x:c r="C248" s="23" t="str">
        <x:v>找出CBN-福州仓山-火车南站东南美化塔C-HRHH-518和CBN-福州仓山-福厦高铁鸡笼山隧道C-HRRH-513这两个5G小区中，机械下倾角在3到9之间的小区名称和机械下倾角</x:v>
      </x:c>
      <x:c r="D248" s="23" t="str">
        <x:v>Recipe - Qwen执行</x:v>
      </x:c>
      <x:c r="E248" s="23" t="str">
        <x:v>同一问题第1次Qwen调用</x:v>
      </x:c>
      <x:c r="F248" s="21" t="n">
        <x:v>1</x:v>
      </x:c>
      <x:c r="G248" s="21" t="str">
        <x:v>2026-08-14T07:37:22.909</x:v>
      </x:c>
      <x:c r="H248" s="36" t="n">
        <x:v>3066.863</x:v>
      </x:c>
      <x:c r="I248" s="36" t="n">
        <x:f>H248/1000</x:f>
        <x:v>3.0668629999999997</x:v>
      </x:c>
      <x:c r="J248" s="21" t="str">
        <x:v>dsv_modify_0814/qwen_3.jsonl</x:v>
      </x:c>
      <x:c r="K248" s="21" t="n">
        <x:v>72</x:v>
      </x:c>
      <x:c r="L248" s="21" t="str">
        <x:v>processed精确文本</x:v>
      </x:c>
    </x:row>
    <x:row r="249">
      <x:c r="A249" s="38" t="n">
        <x:v>37</x:v>
      </x:c>
      <x:c r="B249" s="23" t="str">
        <x:v>找出CBN-福州仓山-火车南站东南美化塔C-HRHH-518和CBN-福州仓山-福厦高铁鸡笼山隧道C-HRRH-513这两个5G小区中，机械下倾角在3到9之间的小区名称和机械下倾角。</x:v>
      </x:c>
      <x:c r="C249" s="23" t="str">
        <x:v>找出CBN-福州仓山-火车南站东南美化塔C-HRHH-518和CBN-福州仓山-福厦高铁鸡笼山隧道C-HRRH-513这两个5G小区中，机械下倾角在3到9之间的小区名称和机械下倾角</x:v>
      </x:c>
      <x:c r="D249" s="23" t="str">
        <x:v>Recipe - Qwen总结</x:v>
      </x:c>
      <x:c r="E249" s="23" t="str">
        <x:v>同一问题最后一次Qwen调用</x:v>
      </x:c>
      <x:c r="F249" s="21" t="n">
        <x:v>1</x:v>
      </x:c>
      <x:c r="G249" s="21" t="str">
        <x:v>2026-08-14T07:37:26.525</x:v>
      </x:c>
      <x:c r="H249" s="36" t="n">
        <x:v>1725.188</x:v>
      </x:c>
      <x:c r="I249" s="36" t="n">
        <x:f>H249/1000</x:f>
        <x:v>1.7251880000000002</x:v>
      </x:c>
      <x:c r="J249" s="21" t="str">
        <x:v>dsv_modify_0814/qwen_3.jsonl</x:v>
      </x:c>
      <x:c r="K249" s="21" t="n">
        <x:v>73</x:v>
      </x:c>
      <x:c r="L249" s="21" t="str">
        <x:v>processed精确文本</x:v>
      </x:c>
    </x:row>
    <x:row r="250">
      <x:c r="A250" s="38" t="n">
        <x:v>37</x:v>
      </x:c>
      <x:c r="B250" s="23" t="str">
        <x:v>找出CBN-福州仓山-火车南站东南美化塔C-HRHH-518和CBN-福州仓山-福厦高铁鸡笼山隧道C-HRRH-513这两个5G小区中，机械下倾角在3到9之间的小区名称和机械下倾角。</x:v>
      </x:c>
      <x:c r="C250" s="23" t="str">
        <x:v>找出CBN-福州仓山-火车南站东南美化塔C-HRHH-518和CBN-福州仓山-福厦高铁鸡笼山隧道C-HRRH-513这两个5G小区中，机械下倾角在3到9之间的小区名称和机械下倾角</x:v>
      </x:c>
      <x:c r="D250" s="23" t="str">
        <x:v>AICO总结</x:v>
      </x:c>
      <x:c r="E250" s="23" t="str">
        <x:v>无tool_calls</x:v>
      </x:c>
      <x:c r="F250" s="21" t="n">
        <x:v>1</x:v>
      </x:c>
      <x:c r="G250" s="21" t="str">
        <x:v>2026-08-14T07:37:28.523</x:v>
      </x:c>
      <x:c r="H250" s="36" t="n">
        <x:v>2921.66</x:v>
      </x:c>
      <x:c r="I250" s="36" t="n">
        <x:f>H250/1000</x:f>
        <x:v>2.9216599999999997</x:v>
      </x:c>
      <x:c r="J250" s="21" t="str">
        <x:v>dsv_modify_0814/dsv4_3_aico.jsonl</x:v>
      </x:c>
      <x:c r="K250" s="21" t="n">
        <x:v>106</x:v>
      </x:c>
      <x:c r="L250" s="21" t="str">
        <x:v>original精确文本</x:v>
      </x:c>
    </x:row>
    <x:row r="251">
      <x:c r="A251" s="38" t="n">
        <x:v>37</x:v>
      </x:c>
      <x:c r="B251" s="23" t="str">
        <x:v>找出CBN-福州仓山-火车南站东南美化塔C-HRHH-518和CBN-福州仓山-福厦高铁鸡笼山隧道C-HRRH-513这两个5G小区中，机械下倾角在3到9之间的小区名称和机械下倾角。</x:v>
      </x:c>
      <x:c r="C251" s="23" t="str">
        <x:v>找出CBN-福州仓山-火车南站东南美化塔C-HRHH-518和CBN-福州仓山-福厦高铁鸡笼山隧道C-HRRH-513这两个5G小区中，机械下倾角在3到9之间的小区名称和机械下倾角</x:v>
      </x:c>
      <x:c r="D251" s="23" t="str">
        <x:v>问题推荐</x:v>
      </x:c>
      <x:c r="E251" s="23" t="str">
        <x:v>后续问题推荐</x:v>
      </x:c>
      <x:c r="F251" s="21" t="n">
        <x:v>1</x:v>
      </x:c>
      <x:c r="G251" s="21" t="str">
        <x:v>2026-08-14T07:37:31.869</x:v>
      </x:c>
      <x:c r="H251" s="36" t="n">
        <x:v>2902.005</x:v>
      </x:c>
      <x:c r="I251" s="36" t="n">
        <x:f>H251/1000</x:f>
        <x:v>2.902005</x:v>
      </x:c>
      <x:c r="J251" s="21" t="str">
        <x:v>dsv_modify_0814/dsv4_3_recipe_ds.jsonl</x:v>
      </x:c>
      <x:c r="K251" s="21" t="n">
        <x:v>71</x:v>
      </x:c>
      <x:c r="L251" s="21" t="str">
        <x:v>original精确文本</x:v>
      </x:c>
    </x:row>
    <x:row r="252">
      <x:c r="A252" s="38" t="n">
        <x:v>38</x:v>
      </x:c>
      <x:c r="B252" s="23" t="str">
        <x:v>确认一下CBN-深圳梅沙湾U-H5H-0712小区，如果方位角等于180且电子下倾角不低于6，返回它的站点名称、方位角和电子下倾角。</x:v>
      </x:c>
      <x:c r="C252" s="23" t="str">
        <x:v>确认CBN-深圳梅沙湾U-H5H-0712小区，如果方位角等于180且电子下倾角不低于6，返回它的站点名称、方位角和电子下倾角</x:v>
      </x:c>
      <x:c r="D252" s="23" t="str">
        <x:v>AICO Tool Call - Skill</x:v>
      </x:c>
      <x:c r="E252" s="23" t="str">
        <x:v>Skill</x:v>
      </x:c>
      <x:c r="F252" s="21" t="n">
        <x:v>1</x:v>
      </x:c>
      <x:c r="G252" s="21" t="str">
        <x:v>2026-08-14T07:37:32.706</x:v>
      </x:c>
      <x:c r="H252" s="36" t="n">
        <x:v>2616.494</x:v>
      </x:c>
      <x:c r="I252" s="36" t="n">
        <x:f>H252/1000</x:f>
        <x:v>2.6164940000000003</x:v>
      </x:c>
      <x:c r="J252" s="21" t="str">
        <x:v>dsv_modify_0814/dsv4_3_aico.jsonl</x:v>
      </x:c>
      <x:c r="K252" s="21" t="n">
        <x:v>107</x:v>
      </x:c>
      <x:c r="L252" s="21" t="str">
        <x:v>original精确文本</x:v>
      </x:c>
    </x:row>
    <x:row r="253">
      <x:c r="A253" s="38" t="n">
        <x:v>38</x:v>
      </x:c>
      <x:c r="B253" s="23" t="str">
        <x:v>确认一下CBN-深圳梅沙湾U-H5H-0712小区，如果方位角等于180且电子下倾角不低于6，返回它的站点名称、方位角和电子下倾角。</x:v>
      </x:c>
      <x:c r="C253" s="23" t="str">
        <x:v>确认CBN-深圳梅沙湾U-H5H-0712小区，如果方位角等于180且电子下倾角不低于6，返回它的站点名称、方位角和电子下倾角</x:v>
      </x:c>
      <x:c r="D253" s="23" t="str">
        <x:v>AICO Tool Call - Workflow</x:v>
      </x:c>
      <x:c r="E253" s="23" t="str">
        <x:v>Workflow</x:v>
      </x:c>
      <x:c r="F253" s="21" t="n">
        <x:v>1</x:v>
      </x:c>
      <x:c r="G253" s="21" t="str">
        <x:v>2026-08-14T07:37:35.483</x:v>
      </x:c>
      <x:c r="H253" s="36" t="n">
        <x:v>2520.483</x:v>
      </x:c>
      <x:c r="I253" s="36" t="n">
        <x:f>H253/1000</x:f>
        <x:v>2.520483</x:v>
      </x:c>
      <x:c r="J253" s="21" t="str">
        <x:v>dsv_modify_0814/dsv4_3_aico.jsonl</x:v>
      </x:c>
      <x:c r="K253" s="21" t="n">
        <x:v>108</x:v>
      </x:c>
      <x:c r="L253" s="21" t="str">
        <x:v>original精确文本</x:v>
      </x:c>
    </x:row>
    <x:row r="254">
      <x:c r="A254" s="38" t="n">
        <x:v>38</x:v>
      </x:c>
      <x:c r="B254" s="23" t="str">
        <x:v>确认一下CBN-深圳梅沙湾U-H5H-0712小区，如果方位角等于180且电子下倾角不低于6，返回它的站点名称、方位角和电子下倾角。</x:v>
      </x:c>
      <x:c r="C254" s="23" t="str">
        <x:v>确认CBN-深圳梅沙湾U-H5H-0712小区，如果方位角等于180且电子下倾角不低于6，返回它的站点名称、方位角和电子下倾角</x:v>
      </x:c>
      <x:c r="D254" s="23" t="str">
        <x:v>Recipe - DeepSeek</x:v>
      </x:c>
      <x:c r="E254" s="23" t="str">
        <x:v>DeepSeek recipe调用</x:v>
      </x:c>
      <x:c r="F254" s="21" t="n">
        <x:v>1</x:v>
      </x:c>
      <x:c r="G254" s="21" t="str">
        <x:v>2026-08-14T07:37:39.632</x:v>
      </x:c>
      <x:c r="H254" s="36" t="n">
        <x:v>2080.489</x:v>
      </x:c>
      <x:c r="I254" s="36" t="n">
        <x:f>H254/1000</x:f>
        <x:v>2.080489</x:v>
      </x:c>
      <x:c r="J254" s="21" t="str">
        <x:v>dsv_modify_0814/dsv4_3_recipe_ds.jsonl</x:v>
      </x:c>
      <x:c r="K254" s="21" t="n">
        <x:v>72</x:v>
      </x:c>
      <x:c r="L254" s="21" t="str">
        <x:v>processed精确文本</x:v>
      </x:c>
    </x:row>
    <x:row r="255">
      <x:c r="A255" s="38" t="n">
        <x:v>38</x:v>
      </x:c>
      <x:c r="B255" s="23" t="str">
        <x:v>确认一下CBN-深圳梅沙湾U-H5H-0712小区，如果方位角等于180且电子下倾角不低于6，返回它的站点名称、方位角和电子下倾角。</x:v>
      </x:c>
      <x:c r="C255" s="23" t="str">
        <x:v>确认CBN-深圳梅沙湾U-H5H-0712小区，如果方位角等于180且电子下倾角不低于6，返回它的站点名称、方位角和电子下倾角</x:v>
      </x:c>
      <x:c r="D255" s="23" t="str">
        <x:v>Recipe - Qwen执行</x:v>
      </x:c>
      <x:c r="E255" s="23" t="str">
        <x:v>同一问题第1次Qwen调用</x:v>
      </x:c>
      <x:c r="F255" s="21" t="n">
        <x:v>1</x:v>
      </x:c>
      <x:c r="G255" s="21" t="str">
        <x:v>2026-08-14T07:37:42.031</x:v>
      </x:c>
      <x:c r="H255" s="36" t="n">
        <x:v>3133.721</x:v>
      </x:c>
      <x:c r="I255" s="36" t="n">
        <x:f>H255/1000</x:f>
        <x:v>3.133721</x:v>
      </x:c>
      <x:c r="J255" s="21" t="str">
        <x:v>dsv_modify_0814/qwen_3.jsonl</x:v>
      </x:c>
      <x:c r="K255" s="21" t="n">
        <x:v>74</x:v>
      </x:c>
      <x:c r="L255" s="21" t="str">
        <x:v>processed精确文本</x:v>
      </x:c>
    </x:row>
    <x:row r="256">
      <x:c r="A256" s="38" t="n">
        <x:v>38</x:v>
      </x:c>
      <x:c r="B256" s="23" t="str">
        <x:v>确认一下CBN-深圳梅沙湾U-H5H-0712小区，如果方位角等于180且电子下倾角不低于6，返回它的站点名称、方位角和电子下倾角。</x:v>
      </x:c>
      <x:c r="C256" s="23" t="str">
        <x:v>确认CBN-深圳梅沙湾U-H5H-0712小区，如果方位角等于180且电子下倾角不低于6，返回它的站点名称、方位角和电子下倾角</x:v>
      </x:c>
      <x:c r="D256" s="23" t="str">
        <x:v>Recipe - Qwen总结</x:v>
      </x:c>
      <x:c r="E256" s="23" t="str">
        <x:v>同一问题最后一次Qwen调用</x:v>
      </x:c>
      <x:c r="F256" s="21" t="n">
        <x:v>1</x:v>
      </x:c>
      <x:c r="G256" s="21" t="str">
        <x:v>2026-08-14T07:37:45.648</x:v>
      </x:c>
      <x:c r="H256" s="36" t="n">
        <x:v>1776.053</x:v>
      </x:c>
      <x:c r="I256" s="36" t="n">
        <x:f>H256/1000</x:f>
        <x:v>1.776053</x:v>
      </x:c>
      <x:c r="J256" s="21" t="str">
        <x:v>dsv_modify_0814/qwen_3.jsonl</x:v>
      </x:c>
      <x:c r="K256" s="21" t="n">
        <x:v>75</x:v>
      </x:c>
      <x:c r="L256" s="21" t="str">
        <x:v>processed精确文本</x:v>
      </x:c>
    </x:row>
    <x:row r="257">
      <x:c r="A257" s="38" t="n">
        <x:v>38</x:v>
      </x:c>
      <x:c r="B257" s="23" t="str">
        <x:v>确认一下CBN-深圳梅沙湾U-H5H-0712小区，如果方位角等于180且电子下倾角不低于6，返回它的站点名称、方位角和电子下倾角。</x:v>
      </x:c>
      <x:c r="C257" s="23" t="str">
        <x:v>确认CBN-深圳梅沙湾U-H5H-0712小区，如果方位角等于180且电子下倾角不低于6，返回它的站点名称、方位角和电子下倾角</x:v>
      </x:c>
      <x:c r="D257" s="23" t="str">
        <x:v>AICO总结</x:v>
      </x:c>
      <x:c r="E257" s="23" t="str">
        <x:v>无tool_calls</x:v>
      </x:c>
      <x:c r="F257" s="21" t="n">
        <x:v>1</x:v>
      </x:c>
      <x:c r="G257" s="21" t="str">
        <x:v>2026-08-14T07:37:47.724</x:v>
      </x:c>
      <x:c r="H257" s="36" t="n">
        <x:v>2953.493</x:v>
      </x:c>
      <x:c r="I257" s="36" t="n">
        <x:f>H257/1000</x:f>
        <x:v>2.953493</x:v>
      </x:c>
      <x:c r="J257" s="21" t="str">
        <x:v>dsv_modify_0814/dsv4_3_aico.jsonl</x:v>
      </x:c>
      <x:c r="K257" s="21" t="n">
        <x:v>109</x:v>
      </x:c>
      <x:c r="L257" s="21" t="str">
        <x:v>original精确文本</x:v>
      </x:c>
    </x:row>
    <x:row r="258">
      <x:c r="A258" s="38" t="n">
        <x:v>38</x:v>
      </x:c>
      <x:c r="B258" s="23" t="str">
        <x:v>确认一下CBN-深圳梅沙湾U-H5H-0712小区，如果方位角等于180且电子下倾角不低于6，返回它的站点名称、方位角和电子下倾角。</x:v>
      </x:c>
      <x:c r="C258" s="23" t="str">
        <x:v>确认CBN-深圳梅沙湾U-H5H-0712小区，如果方位角等于180且电子下倾角不低于6，返回它的站点名称、方位角和电子下倾角</x:v>
      </x:c>
      <x:c r="D258" s="23" t="str">
        <x:v>问题推荐</x:v>
      </x:c>
      <x:c r="E258" s="23" t="str">
        <x:v>后续问题推荐</x:v>
      </x:c>
      <x:c r="F258" s="21" t="n">
        <x:v>1</x:v>
      </x:c>
      <x:c r="G258" s="21" t="str">
        <x:v>2026-08-14T07:37:50.978</x:v>
      </x:c>
      <x:c r="H258" s="36" t="n">
        <x:v>3599.512</x:v>
      </x:c>
      <x:c r="I258" s="36" t="n">
        <x:f>H258/1000</x:f>
        <x:v>3.5995120000000003</x:v>
      </x:c>
      <x:c r="J258" s="21" t="str">
        <x:v>dsv_modify_0814/dsv4_3_recipe_ds.jsonl</x:v>
      </x:c>
      <x:c r="K258" s="21" t="n">
        <x:v>73</x:v>
      </x:c>
      <x:c r="L258" s="21" t="str">
        <x:v>original精确文本</x:v>
      </x:c>
    </x:row>
    <x:row r="259">
      <x:c r="A259" s="38" t="n">
        <x:v>39</x:v>
      </x:c>
      <x:c r="B259" s="23" t="str">
        <x:v>看一下深圳东海岸三D-HRH和深圳奥特莱斯D-HRH这两个站点下，NR制式中方位角为90或270的小区，返回小区名称和方位角。</x:v>
      </x:c>
      <x:c r="C259" s="23" t="str">
        <x:v>查询深圳东海岸三D-HRH和深圳奥特莱斯D-HRH这两个站点下，NR制式中方位角为90或270的小区，返回小区名称和方位角</x:v>
      </x:c>
      <x:c r="D259" s="23" t="str">
        <x:v>AICO Tool Call - Skill</x:v>
      </x:c>
      <x:c r="E259" s="23" t="str">
        <x:v>Skill</x:v>
      </x:c>
      <x:c r="F259" s="21" t="n">
        <x:v>1</x:v>
      </x:c>
      <x:c r="G259" s="21" t="str">
        <x:v>2026-08-14T07:37:51.763</x:v>
      </x:c>
      <x:c r="H259" s="36" t="n">
        <x:v>2687.346</x:v>
      </x:c>
      <x:c r="I259" s="36" t="n">
        <x:f>H259/1000</x:f>
        <x:v>2.687346</x:v>
      </x:c>
      <x:c r="J259" s="21" t="str">
        <x:v>dsv_modify_0814/dsv4_3_aico.jsonl</x:v>
      </x:c>
      <x:c r="K259" s="21" t="n">
        <x:v>110</x:v>
      </x:c>
      <x:c r="L259" s="21" t="str">
        <x:v>original精确文本</x:v>
      </x:c>
    </x:row>
    <x:row r="260">
      <x:c r="A260" s="38" t="n">
        <x:v>39</x:v>
      </x:c>
      <x:c r="B260" s="23" t="str">
        <x:v>看一下深圳东海岸三D-HRH和深圳奥特莱斯D-HRH这两个站点下，NR制式中方位角为90或270的小区，返回小区名称和方位角。</x:v>
      </x:c>
      <x:c r="C260" s="23" t="str">
        <x:v>查询深圳东海岸三D-HRH和深圳奥特莱斯D-HRH这两个站点下，NR制式中方位角为90或270的小区，返回小区名称和方位角</x:v>
      </x:c>
      <x:c r="D260" s="23" t="str">
        <x:v>AICO Tool Call - Workflow</x:v>
      </x:c>
      <x:c r="E260" s="23" t="str">
        <x:v>Workflow</x:v>
      </x:c>
      <x:c r="F260" s="21" t="n">
        <x:v>1</x:v>
      </x:c>
      <x:c r="G260" s="21" t="str">
        <x:v>2026-08-14T07:37:54.612</x:v>
      </x:c>
      <x:c r="H260" s="36" t="n">
        <x:v>2581.849</x:v>
      </x:c>
      <x:c r="I260" s="36" t="n">
        <x:f>H260/1000</x:f>
        <x:v>2.581849</x:v>
      </x:c>
      <x:c r="J260" s="21" t="str">
        <x:v>dsv_modify_0814/dsv4_3_aico.jsonl</x:v>
      </x:c>
      <x:c r="K260" s="21" t="n">
        <x:v>111</x:v>
      </x:c>
      <x:c r="L260" s="21" t="str">
        <x:v>original精确文本</x:v>
      </x:c>
    </x:row>
    <x:row r="261">
      <x:c r="A261" s="38" t="n">
        <x:v>39</x:v>
      </x:c>
      <x:c r="B261" s="23" t="str">
        <x:v>看一下深圳东海岸三D-HRH和深圳奥特莱斯D-HRH这两个站点下，NR制式中方位角为90或270的小区，返回小区名称和方位角。</x:v>
      </x:c>
      <x:c r="C261" s="23" t="str">
        <x:v>查询深圳东海岸三D-HRH和深圳奥特莱斯D-HRH这两个站点下，NR制式中方位角为90或270的小区，返回小区名称和方位角</x:v>
      </x:c>
      <x:c r="D261" s="23" t="str">
        <x:v>Recipe - DeepSeek</x:v>
      </x:c>
      <x:c r="E261" s="23" t="str">
        <x:v>DeepSeek recipe调用</x:v>
      </x:c>
      <x:c r="F261" s="21" t="n">
        <x:v>1</x:v>
      </x:c>
      <x:c r="G261" s="21" t="str">
        <x:v>2026-08-14T07:37:58.609</x:v>
      </x:c>
      <x:c r="H261" s="36" t="n">
        <x:v>2275.968</x:v>
      </x:c>
      <x:c r="I261" s="36" t="n">
        <x:f>H261/1000</x:f>
        <x:v>2.2759679999999998</x:v>
      </x:c>
      <x:c r="J261" s="21" t="str">
        <x:v>dsv_modify_0814/dsv4_3_recipe_ds.jsonl</x:v>
      </x:c>
      <x:c r="K261" s="21" t="n">
        <x:v>74</x:v>
      </x:c>
      <x:c r="L261" s="21" t="str">
        <x:v>processed精确文本</x:v>
      </x:c>
    </x:row>
    <x:row r="262">
      <x:c r="A262" s="38" t="n">
        <x:v>39</x:v>
      </x:c>
      <x:c r="B262" s="23" t="str">
        <x:v>看一下深圳东海岸三D-HRH和深圳奥特莱斯D-HRH这两个站点下，NR制式中方位角为90或270的小区，返回小区名称和方位角。</x:v>
      </x:c>
      <x:c r="C262" s="23" t="str">
        <x:v>查询深圳东海岸三D-HRH和深圳奥特莱斯D-HRH这两个站点下，NR制式中方位角为90或270的小区，返回小区名称和方位角</x:v>
      </x:c>
      <x:c r="D262" s="23" t="str">
        <x:v>Recipe - Qwen执行</x:v>
      </x:c>
      <x:c r="E262" s="23" t="str">
        <x:v>同一问题第1次Qwen调用</x:v>
      </x:c>
      <x:c r="F262" s="21" t="n">
        <x:v>1</x:v>
      </x:c>
      <x:c r="G262" s="21" t="str">
        <x:v>2026-08-14T07:38:01.245</x:v>
      </x:c>
      <x:c r="H262" s="36" t="n">
        <x:v>2923.306</x:v>
      </x:c>
      <x:c r="I262" s="36" t="n">
        <x:f>H262/1000</x:f>
        <x:v>2.923306</x:v>
      </x:c>
      <x:c r="J262" s="21" t="str">
        <x:v>dsv_modify_0814/qwen_3.jsonl</x:v>
      </x:c>
      <x:c r="K262" s="21" t="n">
        <x:v>76</x:v>
      </x:c>
      <x:c r="L262" s="21" t="str">
        <x:v>processed精确文本</x:v>
      </x:c>
    </x:row>
    <x:row r="263">
      <x:c r="A263" s="38" t="n">
        <x:v>39</x:v>
      </x:c>
      <x:c r="B263" s="23" t="str">
        <x:v>看一下深圳东海岸三D-HRH和深圳奥特莱斯D-HRH这两个站点下，NR制式中方位角为90或270的小区，返回小区名称和方位角。</x:v>
      </x:c>
      <x:c r="C263" s="23" t="str">
        <x:v>查询深圳东海岸三D-HRH和深圳奥特莱斯D-HRH这两个站点下，NR制式中方位角为90或270的小区，返回小区名称和方位角</x:v>
      </x:c>
      <x:c r="D263" s="23" t="str">
        <x:v>Recipe - Qwen总结</x:v>
      </x:c>
      <x:c r="E263" s="23" t="str">
        <x:v>同一问题最后一次Qwen调用</x:v>
      </x:c>
      <x:c r="F263" s="21" t="n">
        <x:v>1</x:v>
      </x:c>
      <x:c r="G263" s="21" t="str">
        <x:v>2026-08-14T07:38:04.667</x:v>
      </x:c>
      <x:c r="H263" s="36" t="n">
        <x:v>1600.757</x:v>
      </x:c>
      <x:c r="I263" s="36" t="n">
        <x:f>H263/1000</x:f>
        <x:v>1.600757</x:v>
      </x:c>
      <x:c r="J263" s="21" t="str">
        <x:v>dsv_modify_0814/qwen_3.jsonl</x:v>
      </x:c>
      <x:c r="K263" s="21" t="n">
        <x:v>77</x:v>
      </x:c>
      <x:c r="L263" s="21" t="str">
        <x:v>processed精确文本</x:v>
      </x:c>
    </x:row>
    <x:row r="264">
      <x:c r="A264" s="38" t="n">
        <x:v>39</x:v>
      </x:c>
      <x:c r="B264" s="23" t="str">
        <x:v>看一下深圳东海岸三D-HRH和深圳奥特莱斯D-HRH这两个站点下，NR制式中方位角为90或270的小区，返回小区名称和方位角。</x:v>
      </x:c>
      <x:c r="C264" s="23" t="str">
        <x:v>查询深圳东海岸三D-HRH和深圳奥特莱斯D-HRH这两个站点下，NR制式中方位角为90或270的小区，返回小区名称和方位角</x:v>
      </x:c>
      <x:c r="D264" s="23" t="str">
        <x:v>AICO总结</x:v>
      </x:c>
      <x:c r="E264" s="23" t="str">
        <x:v>无tool_calls</x:v>
      </x:c>
      <x:c r="F264" s="21" t="n">
        <x:v>1</x:v>
      </x:c>
      <x:c r="G264" s="21" t="str">
        <x:v>2026-08-14T07:38:06.535</x:v>
      </x:c>
      <x:c r="H264" s="36" t="n">
        <x:v>2622.076</x:v>
      </x:c>
      <x:c r="I264" s="36" t="n">
        <x:f>H264/1000</x:f>
        <x:v>2.622076</x:v>
      </x:c>
      <x:c r="J264" s="21" t="str">
        <x:v>dsv_modify_0814/dsv4_3_aico.jsonl</x:v>
      </x:c>
      <x:c r="K264" s="21" t="n">
        <x:v>112</x:v>
      </x:c>
      <x:c r="L264" s="21" t="str">
        <x:v>original精确文本</x:v>
      </x:c>
    </x:row>
    <x:row r="265">
      <x:c r="A265" s="38" t="n">
        <x:v>39</x:v>
      </x:c>
      <x:c r="B265" s="23" t="str">
        <x:v>看一下深圳东海岸三D-HRH和深圳奥特莱斯D-HRH这两个站点下，NR制式中方位角为90或270的小区，返回小区名称和方位角。</x:v>
      </x:c>
      <x:c r="C265" s="23" t="str">
        <x:v>查询深圳东海岸三D-HRH和深圳奥特莱斯D-HRH这两个站点下，NR制式中方位角为90或270的小区，返回小区名称和方位角</x:v>
      </x:c>
      <x:c r="D265" s="23" t="str">
        <x:v>问题推荐</x:v>
      </x:c>
      <x:c r="E265" s="23" t="str">
        <x:v>后续问题推荐</x:v>
      </x:c>
      <x:c r="F265" s="21" t="n">
        <x:v>1</x:v>
      </x:c>
      <x:c r="G265" s="21" t="str">
        <x:v>2026-08-14T07:38:09.478</x:v>
      </x:c>
      <x:c r="H265" s="36" t="n">
        <x:v>3101.235</x:v>
      </x:c>
      <x:c r="I265" s="36" t="n">
        <x:f>H265/1000</x:f>
        <x:v>3.101235</x:v>
      </x:c>
      <x:c r="J265" s="21" t="str">
        <x:v>dsv_modify_0814/dsv4_3_recipe_ds.jsonl</x:v>
      </x:c>
      <x:c r="K265" s="21" t="n">
        <x:v>75</x:v>
      </x:c>
      <x:c r="L265" s="21" t="str">
        <x:v>original精确文本</x:v>
      </x:c>
    </x:row>
    <x:row r="266">
      <x:c r="A266" s="38" t="n">
        <x:v>40</x:v>
      </x:c>
      <x:c r="B266" s="23" t="str">
        <x:v>帮我筛一下CBN-福州晋安-东浦新村4号楼C-HRHH-512小区，排除掉天线高度等于20米的情况，返回小区名称、天线高度和经度。</x:v>
      </x:c>
      <x:c r="C266" s="23" t="str">
        <x:v>帮我筛一下CBN-福州晋安-东浦新村4号楼C-HRHH-512小区，排除掉天线高度等于20米的情况，返回小区名称、天线高度和经度</x:v>
      </x:c>
      <x:c r="D266" s="23" t="str">
        <x:v>AICO Tool Call - Skill</x:v>
      </x:c>
      <x:c r="E266" s="23" t="str">
        <x:v>Skill</x:v>
      </x:c>
      <x:c r="F266" s="21" t="n">
        <x:v>1</x:v>
      </x:c>
      <x:c r="G266" s="21" t="str">
        <x:v>2026-08-14T07:38:10.320</x:v>
      </x:c>
      <x:c r="H266" s="36" t="n">
        <x:v>2675.066</x:v>
      </x:c>
      <x:c r="I266" s="36" t="n">
        <x:f>H266/1000</x:f>
        <x:v>2.6750659999999997</x:v>
      </x:c>
      <x:c r="J266" s="21" t="str">
        <x:v>dsv_modify_0814/dsv4_3_aico.jsonl</x:v>
      </x:c>
      <x:c r="K266" s="21" t="n">
        <x:v>113</x:v>
      </x:c>
      <x:c r="L266" s="21" t="str">
        <x:v>original精确文本</x:v>
      </x:c>
    </x:row>
    <x:row r="267">
      <x:c r="A267" s="38" t="n">
        <x:v>40</x:v>
      </x:c>
      <x:c r="B267" s="23" t="str">
        <x:v>帮我筛一下CBN-福州晋安-东浦新村4号楼C-HRHH-512小区，排除掉天线高度等于20米的情况，返回小区名称、天线高度和经度。</x:v>
      </x:c>
      <x:c r="C267" s="23" t="str">
        <x:v>帮我筛一下CBN-福州晋安-东浦新村4号楼C-HRHH-512小区，排除掉天线高度等于20米的情况，返回小区名称、天线高度和经度</x:v>
      </x:c>
      <x:c r="D267" s="23" t="str">
        <x:v>AICO Tool Call - Workflow</x:v>
      </x:c>
      <x:c r="E267" s="23" t="str">
        <x:v>Workflow</x:v>
      </x:c>
      <x:c r="F267" s="21" t="n">
        <x:v>1</x:v>
      </x:c>
      <x:c r="G267" s="21" t="str">
        <x:v>2026-08-14T07:38:13.147</x:v>
      </x:c>
      <x:c r="H267" s="36" t="n">
        <x:v>2543.338</x:v>
      </x:c>
      <x:c r="I267" s="36" t="n">
        <x:f>H267/1000</x:f>
        <x:v>2.5433380000000003</x:v>
      </x:c>
      <x:c r="J267" s="21" t="str">
        <x:v>dsv_modify_0814/dsv4_3_aico.jsonl</x:v>
      </x:c>
      <x:c r="K267" s="21" t="n">
        <x:v>114</x:v>
      </x:c>
      <x:c r="L267" s="21" t="str">
        <x:v>original精确文本</x:v>
      </x:c>
    </x:row>
    <x:row r="268">
      <x:c r="A268" s="38" t="n">
        <x:v>40</x:v>
      </x:c>
      <x:c r="B268" s="23" t="str">
        <x:v>帮我筛一下CBN-福州晋安-东浦新村4号楼C-HRHH-512小区，排除掉天线高度等于20米的情况，返回小区名称、天线高度和经度。</x:v>
      </x:c>
      <x:c r="C268" s="23" t="str">
        <x:v>帮我筛一下CBN-福州晋安-东浦新村4号楼C-HRHH-512小区，排除掉天线高度等于20米的情况，返回小区名称、天线高度和经度</x:v>
      </x:c>
      <x:c r="D268" s="23" t="str">
        <x:v>Recipe - DeepSeek</x:v>
      </x:c>
      <x:c r="E268" s="23" t="str">
        <x:v>DeepSeek recipe调用</x:v>
      </x:c>
      <x:c r="F268" s="21" t="n">
        <x:v>1</x:v>
      </x:c>
      <x:c r="G268" s="21" t="str">
        <x:v>2026-08-14T07:38:17.121</x:v>
      </x:c>
      <x:c r="H268" s="36" t="n">
        <x:v>2041.908</x:v>
      </x:c>
      <x:c r="I268" s="36" t="n">
        <x:f>H268/1000</x:f>
        <x:v>2.041908</x:v>
      </x:c>
      <x:c r="J268" s="21" t="str">
        <x:v>dsv_modify_0814/dsv4_3_recipe_ds.jsonl</x:v>
      </x:c>
      <x:c r="K268" s="21" t="n">
        <x:v>76</x:v>
      </x:c>
      <x:c r="L268" s="21" t="str">
        <x:v>processed精确文本</x:v>
      </x:c>
    </x:row>
    <x:row r="269">
      <x:c r="A269" s="38" t="n">
        <x:v>40</x:v>
      </x:c>
      <x:c r="B269" s="23" t="str">
        <x:v>帮我筛一下CBN-福州晋安-东浦新村4号楼C-HRHH-512小区，排除掉天线高度等于20米的情况，返回小区名称、天线高度和经度。</x:v>
      </x:c>
      <x:c r="C269" s="23" t="str">
        <x:v>帮我筛一下CBN-福州晋安-东浦新村4号楼C-HRHH-512小区，排除掉天线高度等于20米的情况，返回小区名称、天线高度和经度</x:v>
      </x:c>
      <x:c r="D269" s="23" t="str">
        <x:v>Recipe - Qwen执行</x:v>
      </x:c>
      <x:c r="E269" s="23" t="str">
        <x:v>同一问题第1次Qwen调用</x:v>
      </x:c>
      <x:c r="F269" s="21" t="n">
        <x:v>1</x:v>
      </x:c>
      <x:c r="G269" s="21" t="str">
        <x:v>2026-08-14T07:38:19.484</x:v>
      </x:c>
      <x:c r="H269" s="36" t="n">
        <x:v>1876.772</x:v>
      </x:c>
      <x:c r="I269" s="36" t="n">
        <x:f>H269/1000</x:f>
        <x:v>1.8767719999999999</x:v>
      </x:c>
      <x:c r="J269" s="21" t="str">
        <x:v>dsv_modify_0814/qwen_3.jsonl</x:v>
      </x:c>
      <x:c r="K269" s="21" t="n">
        <x:v>78</x:v>
      </x:c>
      <x:c r="L269" s="21" t="str">
        <x:v>processed精确文本</x:v>
      </x:c>
    </x:row>
    <x:row r="270">
      <x:c r="A270" s="38" t="n">
        <x:v>40</x:v>
      </x:c>
      <x:c r="B270" s="23" t="str">
        <x:v>帮我筛一下CBN-福州晋安-东浦新村4号楼C-HRHH-512小区，排除掉天线高度等于20米的情况，返回小区名称、天线高度和经度。</x:v>
      </x:c>
      <x:c r="C270" s="23" t="str">
        <x:v>帮我筛一下CBN-福州晋安-东浦新村4号楼C-HRHH-512小区，排除掉天线高度等于20米的情况，返回小区名称、天线高度和经度</x:v>
      </x:c>
      <x:c r="D270" s="23" t="str">
        <x:v>Recipe - Qwen总结</x:v>
      </x:c>
      <x:c r="E270" s="23" t="str">
        <x:v>同一问题最后一次Qwen调用</x:v>
      </x:c>
      <x:c r="F270" s="21" t="n">
        <x:v>1</x:v>
      </x:c>
      <x:c r="G270" s="21" t="str">
        <x:v>2026-08-14T07:38:21.876</x:v>
      </x:c>
      <x:c r="H270" s="36" t="n">
        <x:v>3573.176</x:v>
      </x:c>
      <x:c r="I270" s="36" t="n">
        <x:f>H270/1000</x:f>
        <x:v>3.573176</x:v>
      </x:c>
      <x:c r="J270" s="21" t="str">
        <x:v>dsv_modify_0814/qwen_3.jsonl</x:v>
      </x:c>
      <x:c r="K270" s="21" t="n">
        <x:v>79</x:v>
      </x:c>
      <x:c r="L270" s="21" t="str">
        <x:v>processed精确文本</x:v>
      </x:c>
    </x:row>
    <x:row r="271">
      <x:c r="A271" s="38" t="n">
        <x:v>40</x:v>
      </x:c>
      <x:c r="B271" s="23" t="str">
        <x:v>帮我筛一下CBN-福州晋安-东浦新村4号楼C-HRHH-512小区，排除掉天线高度等于20米的情况，返回小区名称、天线高度和经度。</x:v>
      </x:c>
      <x:c r="C271" s="23" t="str">
        <x:v>帮我筛一下CBN-福州晋安-东浦新村4号楼C-HRHH-512小区，排除掉天线高度等于20米的情况，返回小区名称、天线高度和经度</x:v>
      </x:c>
      <x:c r="D271" s="23" t="str">
        <x:v>AICO总结</x:v>
      </x:c>
      <x:c r="E271" s="23" t="str">
        <x:v>无tool_calls</x:v>
      </x:c>
      <x:c r="F271" s="21" t="n">
        <x:v>1</x:v>
      </x:c>
      <x:c r="G271" s="21" t="str">
        <x:v>2026-08-14T07:38:25.736</x:v>
      </x:c>
      <x:c r="H271" s="36" t="n">
        <x:v>3234.785</x:v>
      </x:c>
      <x:c r="I271" s="36" t="n">
        <x:f>H271/1000</x:f>
        <x:v>3.234785</x:v>
      </x:c>
      <x:c r="J271" s="21" t="str">
        <x:v>dsv_modify_0814/dsv4_3_aico.jsonl</x:v>
      </x:c>
      <x:c r="K271" s="21" t="n">
        <x:v>115</x:v>
      </x:c>
      <x:c r="L271" s="21" t="str">
        <x:v>original精确文本</x:v>
      </x:c>
    </x:row>
    <x:row r="272">
      <x:c r="A272" s="38" t="n">
        <x:v>40</x:v>
      </x:c>
      <x:c r="B272" s="23" t="str">
        <x:v>帮我筛一下CBN-福州晋安-东浦新村4号楼C-HRHH-512小区，排除掉天线高度等于20米的情况，返回小区名称、天线高度和经度。</x:v>
      </x:c>
      <x:c r="C272" s="23" t="str">
        <x:v>帮我筛一下CBN-福州晋安-东浦新村4号楼C-HRHH-512小区，排除掉天线高度等于20米的情况，返回小区名称、天线高度和经度</x:v>
      </x:c>
      <x:c r="D272" s="23" t="str">
        <x:v>问题推荐</x:v>
      </x:c>
      <x:c r="E272" s="23" t="str">
        <x:v>后续问题推荐</x:v>
      </x:c>
      <x:c r="F272" s="21" t="n">
        <x:v>1</x:v>
      </x:c>
      <x:c r="G272" s="21" t="str">
        <x:v>2026-08-14T07:38:29.256</x:v>
      </x:c>
      <x:c r="H272" s="36" t="n">
        <x:v>4211.593</x:v>
      </x:c>
      <x:c r="I272" s="36" t="n">
        <x:f>H272/1000</x:f>
        <x:v>4.211593</x:v>
      </x:c>
      <x:c r="J272" s="21" t="str">
        <x:v>dsv_modify_0814/dsv4_3_recipe_ds.jsonl</x:v>
      </x:c>
      <x:c r="K272" s="21" t="n">
        <x:v>77</x:v>
      </x:c>
      <x:c r="L272" s="21" t="str">
        <x:v>original精确文本</x:v>
      </x:c>
    </x:row>
    <x:row r="273">
      <x:c r="A273" s="38" t="n">
        <x:v>41</x:v>
      </x:c>
      <x:c r="B273" s="23" t="str">
        <x:v>帮我查一下深圳奥特莱斯D-HRH-1小区的方位角和天线高度。</x:v>
      </x:c>
      <x:c r="C273" s="23" t="str"/>
      <x:c r="D273" s="23" t="str">
        <x:v>AICO总结</x:v>
      </x:c>
      <x:c r="E273" s="23" t="str">
        <x:v>无tool_calls</x:v>
      </x:c>
      <x:c r="F273" s="21" t="n">
        <x:v>1</x:v>
      </x:c>
      <x:c r="G273" s="21" t="str">
        <x:v>2026-08-14T07:38:30.112</x:v>
      </x:c>
      <x:c r="H273" s="36" t="n">
        <x:v>2242.05</x:v>
      </x:c>
      <x:c r="I273" s="36" t="n">
        <x:f>H273/1000</x:f>
        <x:v>2.2420500000000003</x:v>
      </x:c>
      <x:c r="J273" s="21" t="str">
        <x:v>dsv_modify_0814/dsv4_3_aico.jsonl</x:v>
      </x:c>
      <x:c r="K273" s="21" t="n">
        <x:v>116</x:v>
      </x:c>
      <x:c r="L273" s="21" t="str">
        <x:v>original精确文本</x:v>
      </x:c>
    </x:row>
    <x:row r="274">
      <x:c r="A274" s="38" t="n">
        <x:v>41</x:v>
      </x:c>
      <x:c r="B274" s="23" t="str">
        <x:v>帮我查一下深圳奥特莱斯D-HRH-1小区的方位角和天线高度。</x:v>
      </x:c>
      <x:c r="C274" s="23" t="str"/>
      <x:c r="D274" s="23" t="str">
        <x:v>问题推荐</x:v>
      </x:c>
      <x:c r="E274" s="23" t="str">
        <x:v>后续问题推荐</x:v>
      </x:c>
      <x:c r="F274" s="21" t="n">
        <x:v>1</x:v>
      </x:c>
      <x:c r="G274" s="21" t="str">
        <x:v>2026-08-14T07:38:32.448</x:v>
      </x:c>
      <x:c r="H274" s="36" t="n">
        <x:v>3299.687</x:v>
      </x:c>
      <x:c r="I274" s="36" t="n">
        <x:f>H274/1000</x:f>
        <x:v>3.299687</x:v>
      </x:c>
      <x:c r="J274" s="21" t="str">
        <x:v>dsv_modify_0814/dsv4_3_recipe_ds.jsonl</x:v>
      </x:c>
      <x:c r="K274" s="21" t="n">
        <x:v>78</x:v>
      </x:c>
      <x:c r="L274" s="21" t="str">
        <x:v>original精确文本</x:v>
      </x:c>
    </x:row>
    <x:row r="275">
      <x:c r="A275" s="38" t="n">
        <x:v>42</x:v>
      </x:c>
      <x:c r="B275" s="23" t="str">
        <x:v>看一下CBN-深圳梅沙湾二U-H5H站点下的小区名称和经度。</x:v>
      </x:c>
      <x:c r="C275" s="23" t="str">
        <x:v>查询CBN-深圳梅沙湾二U-H5H站点下的小区名称和经度</x:v>
      </x:c>
      <x:c r="D275" s="23" t="str">
        <x:v>AICO Tool Call - Skill</x:v>
      </x:c>
      <x:c r="E275" s="23" t="str">
        <x:v>Skill</x:v>
      </x:c>
      <x:c r="F275" s="21" t="n">
        <x:v>1</x:v>
      </x:c>
      <x:c r="G275" s="21" t="str">
        <x:v>2026-08-14T07:38:33.474</x:v>
      </x:c>
      <x:c r="H275" s="36" t="n">
        <x:v>2456.557</x:v>
      </x:c>
      <x:c r="I275" s="36" t="n">
        <x:f>H275/1000</x:f>
        <x:v>2.4565569999999997</x:v>
      </x:c>
      <x:c r="J275" s="21" t="str">
        <x:v>dsv_modify_0814/dsv4_3_aico.jsonl</x:v>
      </x:c>
      <x:c r="K275" s="21" t="n">
        <x:v>117</x:v>
      </x:c>
      <x:c r="L275" s="21" t="str">
        <x:v>original精确文本</x:v>
      </x:c>
    </x:row>
    <x:row r="276">
      <x:c r="A276" s="38" t="n">
        <x:v>42</x:v>
      </x:c>
      <x:c r="B276" s="23" t="str">
        <x:v>看一下CBN-深圳梅沙湾二U-H5H站点下的小区名称和经度。</x:v>
      </x:c>
      <x:c r="C276" s="23" t="str">
        <x:v>查询CBN-深圳梅沙湾二U-H5H站点下的小区名称和经度</x:v>
      </x:c>
      <x:c r="D276" s="23" t="str">
        <x:v>AICO Tool Call - Workflow</x:v>
      </x:c>
      <x:c r="E276" s="23" t="str">
        <x:v>Workflow</x:v>
      </x:c>
      <x:c r="F276" s="21" t="n">
        <x:v>1</x:v>
      </x:c>
      <x:c r="G276" s="21" t="str">
        <x:v>2026-08-14T07:38:36.074</x:v>
      </x:c>
      <x:c r="H276" s="36" t="n">
        <x:v>3106.44</x:v>
      </x:c>
      <x:c r="I276" s="36" t="n">
        <x:f>H276/1000</x:f>
        <x:v>3.10644</x:v>
      </x:c>
      <x:c r="J276" s="21" t="str">
        <x:v>dsv_modify_0814/dsv4_3_aico.jsonl</x:v>
      </x:c>
      <x:c r="K276" s="21" t="n">
        <x:v>118</x:v>
      </x:c>
      <x:c r="L276" s="21" t="str">
        <x:v>original精确文本</x:v>
      </x:c>
    </x:row>
    <x:row r="277">
      <x:c r="A277" s="38" t="n">
        <x:v>42</x:v>
      </x:c>
      <x:c r="B277" s="23" t="str">
        <x:v>看一下CBN-深圳梅沙湾二U-H5H站点下的小区名称和经度。</x:v>
      </x:c>
      <x:c r="C277" s="23" t="str">
        <x:v>查询CBN-深圳梅沙湾二U-H5H站点下的小区名称和经度</x:v>
      </x:c>
      <x:c r="D277" s="23" t="str">
        <x:v>Recipe - DeepSeek</x:v>
      </x:c>
      <x:c r="E277" s="23" t="str">
        <x:v>DeepSeek recipe调用</x:v>
      </x:c>
      <x:c r="F277" s="21" t="n">
        <x:v>1</x:v>
      </x:c>
      <x:c r="G277" s="21" t="str">
        <x:v>2026-08-14T07:38:40.575</x:v>
      </x:c>
      <x:c r="H277" s="36" t="n">
        <x:v>1851.661</x:v>
      </x:c>
      <x:c r="I277" s="36" t="n">
        <x:f>H277/1000</x:f>
        <x:v>1.851661</x:v>
      </x:c>
      <x:c r="J277" s="21" t="str">
        <x:v>dsv_modify_0814/dsv4_3_recipe_ds.jsonl</x:v>
      </x:c>
      <x:c r="K277" s="21" t="n">
        <x:v>79</x:v>
      </x:c>
      <x:c r="L277" s="21" t="str">
        <x:v>processed精确文本</x:v>
      </x:c>
    </x:row>
    <x:row r="278">
      <x:c r="A278" s="38" t="n">
        <x:v>42</x:v>
      </x:c>
      <x:c r="B278" s="23" t="str">
        <x:v>看一下CBN-深圳梅沙湾二U-H5H站点下的小区名称和经度。</x:v>
      </x:c>
      <x:c r="C278" s="23" t="str">
        <x:v>查询CBN-深圳梅沙湾二U-H5H站点下的小区名称和经度</x:v>
      </x:c>
      <x:c r="D278" s="23" t="str">
        <x:v>Recipe - Qwen执行</x:v>
      </x:c>
      <x:c r="E278" s="23" t="str">
        <x:v>同一问题第1次Qwen调用</x:v>
      </x:c>
      <x:c r="F278" s="21" t="n">
        <x:v>1</x:v>
      </x:c>
      <x:c r="G278" s="21" t="str">
        <x:v>2026-08-14T07:38:42.740</x:v>
      </x:c>
      <x:c r="H278" s="36" t="n">
        <x:v>2101.788</x:v>
      </x:c>
      <x:c r="I278" s="36" t="n">
        <x:f>H278/1000</x:f>
        <x:v>2.101788</x:v>
      </x:c>
      <x:c r="J278" s="21" t="str">
        <x:v>dsv_modify_0814/qwen_3.jsonl</x:v>
      </x:c>
      <x:c r="K278" s="21" t="n">
        <x:v>80</x:v>
      </x:c>
      <x:c r="L278" s="21" t="str">
        <x:v>processed精确文本</x:v>
      </x:c>
    </x:row>
    <x:row r="279">
      <x:c r="A279" s="38" t="n">
        <x:v>42</x:v>
      </x:c>
      <x:c r="B279" s="23" t="str">
        <x:v>看一下CBN-深圳梅沙湾二U-H5H站点下的小区名称和经度。</x:v>
      </x:c>
      <x:c r="C279" s="23" t="str">
        <x:v>查询CBN-深圳梅沙湾二U-H5H站点下的小区名称和经度</x:v>
      </x:c>
      <x:c r="D279" s="23" t="str">
        <x:v>Recipe - Qwen总结</x:v>
      </x:c>
      <x:c r="E279" s="23" t="str">
        <x:v>同一问题最后一次Qwen调用</x:v>
      </x:c>
      <x:c r="F279" s="21" t="n">
        <x:v>1</x:v>
      </x:c>
      <x:c r="G279" s="21" t="str">
        <x:v>2026-08-14T07:38:45.329</x:v>
      </x:c>
      <x:c r="H279" s="36" t="n">
        <x:v>3390.162</x:v>
      </x:c>
      <x:c r="I279" s="36" t="n">
        <x:f>H279/1000</x:f>
        <x:v>3.3901619999999997</x:v>
      </x:c>
      <x:c r="J279" s="21" t="str">
        <x:v>dsv_modify_0814/qwen_3.jsonl</x:v>
      </x:c>
      <x:c r="K279" s="21" t="n">
        <x:v>81</x:v>
      </x:c>
      <x:c r="L279" s="21" t="str">
        <x:v>processed精确文本</x:v>
      </x:c>
    </x:row>
    <x:row r="280">
      <x:c r="A280" s="38" t="n">
        <x:v>42</x:v>
      </x:c>
      <x:c r="B280" s="23" t="str">
        <x:v>看一下CBN-深圳梅沙湾二U-H5H站点下的小区名称和经度。</x:v>
      </x:c>
      <x:c r="C280" s="23" t="str">
        <x:v>查询CBN-深圳梅沙湾二U-H5H站点下的小区名称和经度</x:v>
      </x:c>
      <x:c r="D280" s="23" t="str">
        <x:v>AICO总结</x:v>
      </x:c>
      <x:c r="E280" s="23" t="str">
        <x:v>无tool_calls</x:v>
      </x:c>
      <x:c r="F280" s="21" t="n">
        <x:v>1</x:v>
      </x:c>
      <x:c r="G280" s="21" t="str">
        <x:v>2026-08-14T07:38:49.008</x:v>
      </x:c>
      <x:c r="H280" s="36" t="n">
        <x:v>3511.266</x:v>
      </x:c>
      <x:c r="I280" s="36" t="n">
        <x:f>H280/1000</x:f>
        <x:v>3.511266</x:v>
      </x:c>
      <x:c r="J280" s="21" t="str">
        <x:v>dsv_modify_0814/dsv4_3_aico.jsonl</x:v>
      </x:c>
      <x:c r="K280" s="21" t="n">
        <x:v>119</x:v>
      </x:c>
      <x:c r="L280" s="21" t="str">
        <x:v>original精确文本</x:v>
      </x:c>
    </x:row>
    <x:row r="281">
      <x:c r="A281" s="38" t="n">
        <x:v>42</x:v>
      </x:c>
      <x:c r="B281" s="23" t="str">
        <x:v>看一下CBN-深圳梅沙湾二U-H5H站点下的小区名称和经度。</x:v>
      </x:c>
      <x:c r="C281" s="23" t="str">
        <x:v>查询CBN-深圳梅沙湾二U-H5H站点下的小区名称和经度</x:v>
      </x:c>
      <x:c r="D281" s="23" t="str">
        <x:v>问题推荐</x:v>
      </x:c>
      <x:c r="E281" s="23" t="str">
        <x:v>后续问题推荐</x:v>
      </x:c>
      <x:c r="F281" s="21" t="n">
        <x:v>1</x:v>
      </x:c>
      <x:c r="G281" s="21" t="str">
        <x:v>2026-08-14T07:38:52.780</x:v>
      </x:c>
      <x:c r="H281" s="36" t="n">
        <x:v>3677.185</x:v>
      </x:c>
      <x:c r="I281" s="36" t="n">
        <x:f>H281/1000</x:f>
        <x:v>3.677185</x:v>
      </x:c>
      <x:c r="J281" s="21" t="str">
        <x:v>dsv_modify_0814/dsv4_3_recipe_ds.jsonl</x:v>
      </x:c>
      <x:c r="K281" s="21" t="n">
        <x:v>80</x:v>
      </x:c>
      <x:c r="L281" s="21" t="str">
        <x:v>original精确文本</x:v>
      </x:c>
    </x:row>
    <x:row r="282">
      <x:c r="A282" s="38" t="n">
        <x:v>43</x:v>
      </x:c>
      <x:c r="B282" s="23" t="str">
        <x:v>确认一下CBN-福州晋安-东浦新村4号楼C-HRHH-513这个小区的电子下倾角和基站标识是多少。</x:v>
      </x:c>
      <x:c r="C282" s="23" t="str">
        <x:v>查询CBN-福州晋安-东浦新村4号楼C-HRHH-513小区的电子下倾角和基站标识</x:v>
      </x:c>
      <x:c r="D282" s="23" t="str">
        <x:v>AICO Tool Call - Skill</x:v>
      </x:c>
      <x:c r="E282" s="23" t="str">
        <x:v>Skill</x:v>
      </x:c>
      <x:c r="F282" s="21" t="n">
        <x:v>1</x:v>
      </x:c>
      <x:c r="G282" s="21" t="str">
        <x:v>2026-08-14T07:38:53.648</x:v>
      </x:c>
      <x:c r="H282" s="36" t="n">
        <x:v>2568.217</x:v>
      </x:c>
      <x:c r="I282" s="36" t="n">
        <x:f>H282/1000</x:f>
        <x:v>2.568217</x:v>
      </x:c>
      <x:c r="J282" s="21" t="str">
        <x:v>dsv_modify_0814/dsv4_3_aico.jsonl</x:v>
      </x:c>
      <x:c r="K282" s="21" t="n">
        <x:v>120</x:v>
      </x:c>
      <x:c r="L282" s="21" t="str">
        <x:v>original精确文本</x:v>
      </x:c>
    </x:row>
    <x:row r="283">
      <x:c r="A283" s="38" t="n">
        <x:v>43</x:v>
      </x:c>
      <x:c r="B283" s="23" t="str">
        <x:v>确认一下CBN-福州晋安-东浦新村4号楼C-HRHH-513这个小区的电子下倾角和基站标识是多少。</x:v>
      </x:c>
      <x:c r="C283" s="23" t="str">
        <x:v>查询CBN-福州晋安-东浦新村4号楼C-HRHH-513小区的电子下倾角和基站标识</x:v>
      </x:c>
      <x:c r="D283" s="23" t="str">
        <x:v>AICO Tool Call - Workflow</x:v>
      </x:c>
      <x:c r="E283" s="23" t="str">
        <x:v>Workflow</x:v>
      </x:c>
      <x:c r="F283" s="21" t="n">
        <x:v>1</x:v>
      </x:c>
      <x:c r="G283" s="21" t="str">
        <x:v>2026-08-14T07:38:56.382</x:v>
      </x:c>
      <x:c r="H283" s="36" t="n">
        <x:v>2506.073</x:v>
      </x:c>
      <x:c r="I283" s="36" t="n">
        <x:f>H283/1000</x:f>
        <x:v>2.5060729999999998</x:v>
      </x:c>
      <x:c r="J283" s="21" t="str">
        <x:v>dsv_modify_0814/dsv4_3_aico.jsonl</x:v>
      </x:c>
      <x:c r="K283" s="21" t="n">
        <x:v>121</x:v>
      </x:c>
      <x:c r="L283" s="21" t="str">
        <x:v>original精确文本</x:v>
      </x:c>
    </x:row>
    <x:row r="284">
      <x:c r="A284" s="38" t="n">
        <x:v>43</x:v>
      </x:c>
      <x:c r="B284" s="23" t="str">
        <x:v>确认一下CBN-福州晋安-东浦新村4号楼C-HRHH-513这个小区的电子下倾角和基站标识是多少。</x:v>
      </x:c>
      <x:c r="C284" s="23" t="str">
        <x:v>查询CBN-福州晋安-东浦新村4号楼C-HRHH-513小区的电子下倾角和基站标识</x:v>
      </x:c>
      <x:c r="D284" s="23" t="str">
        <x:v>Recipe - DeepSeek</x:v>
      </x:c>
      <x:c r="E284" s="23" t="str">
        <x:v>DeepSeek recipe调用</x:v>
      </x:c>
      <x:c r="F284" s="21" t="n">
        <x:v>1</x:v>
      </x:c>
      <x:c r="G284" s="21" t="str">
        <x:v>2026-08-14T07:39:00.269</x:v>
      </x:c>
      <x:c r="H284" s="36" t="n">
        <x:v>2171.771</x:v>
      </x:c>
      <x:c r="I284" s="36" t="n">
        <x:f>H284/1000</x:f>
        <x:v>2.171771</x:v>
      </x:c>
      <x:c r="J284" s="21" t="str">
        <x:v>dsv_modify_0814/dsv4_3_recipe_ds.jsonl</x:v>
      </x:c>
      <x:c r="K284" s="21" t="n">
        <x:v>81</x:v>
      </x:c>
      <x:c r="L284" s="21" t="str">
        <x:v>processed精确文本</x:v>
      </x:c>
    </x:row>
    <x:row r="285">
      <x:c r="A285" s="38" t="n">
        <x:v>43</x:v>
      </x:c>
      <x:c r="B285" s="23" t="str">
        <x:v>确认一下CBN-福州晋安-东浦新村4号楼C-HRHH-513这个小区的电子下倾角和基站标识是多少。</x:v>
      </x:c>
      <x:c r="C285" s="23" t="str">
        <x:v>查询CBN-福州晋安-东浦新村4号楼C-HRHH-513小区的电子下倾角和基站标识</x:v>
      </x:c>
      <x:c r="D285" s="23" t="str">
        <x:v>Recipe - Qwen执行</x:v>
      </x:c>
      <x:c r="E285" s="23" t="str">
        <x:v>同一问题第1次Qwen调用</x:v>
      </x:c>
      <x:c r="F285" s="21" t="n">
        <x:v>1</x:v>
      </x:c>
      <x:c r="G285" s="21" t="str">
        <x:v>2026-08-14T07:39:02.784</x:v>
      </x:c>
      <x:c r="H285" s="36" t="n">
        <x:v>1596.587</x:v>
      </x:c>
      <x:c r="I285" s="36" t="n">
        <x:f>H285/1000</x:f>
        <x:v>1.596587</x:v>
      </x:c>
      <x:c r="J285" s="21" t="str">
        <x:v>dsv_modify_0814/qwen_3.jsonl</x:v>
      </x:c>
      <x:c r="K285" s="21" t="n">
        <x:v>82</x:v>
      </x:c>
      <x:c r="L285" s="21" t="str">
        <x:v>processed精确文本</x:v>
      </x:c>
    </x:row>
    <x:row r="286">
      <x:c r="A286" s="38" t="n">
        <x:v>43</x:v>
      </x:c>
      <x:c r="B286" s="23" t="str">
        <x:v>确认一下CBN-福州晋安-东浦新村4号楼C-HRHH-513这个小区的电子下倾角和基站标识是多少。</x:v>
      </x:c>
      <x:c r="C286" s="23" t="str">
        <x:v>查询CBN-福州晋安-东浦新村4号楼C-HRHH-513小区的电子下倾角和基站标识</x:v>
      </x:c>
      <x:c r="D286" s="23" t="str">
        <x:v>Recipe - Qwen总结</x:v>
      </x:c>
      <x:c r="E286" s="23" t="str">
        <x:v>同一问题最后一次Qwen调用</x:v>
      </x:c>
      <x:c r="F286" s="21" t="n">
        <x:v>1</x:v>
      </x:c>
      <x:c r="G286" s="21" t="str">
        <x:v>2026-08-14T07:39:04.917</x:v>
      </x:c>
      <x:c r="H286" s="36" t="n">
        <x:v>2090.42</x:v>
      </x:c>
      <x:c r="I286" s="36" t="n">
        <x:f>H286/1000</x:f>
        <x:v>2.09042</x:v>
      </x:c>
      <x:c r="J286" s="21" t="str">
        <x:v>dsv_modify_0814/qwen_3.jsonl</x:v>
      </x:c>
      <x:c r="K286" s="21" t="n">
        <x:v>83</x:v>
      </x:c>
      <x:c r="L286" s="21" t="str">
        <x:v>processed精确文本</x:v>
      </x:c>
    </x:row>
    <x:row r="287">
      <x:c r="A287" s="38" t="n">
        <x:v>43</x:v>
      </x:c>
      <x:c r="B287" s="23" t="str">
        <x:v>确认一下CBN-福州晋安-东浦新村4号楼C-HRHH-513这个小区的电子下倾角和基站标识是多少。</x:v>
      </x:c>
      <x:c r="C287" s="23" t="str">
        <x:v>查询CBN-福州晋安-东浦新村4号楼C-HRHH-513小区的电子下倾角和基站标识</x:v>
      </x:c>
      <x:c r="D287" s="23" t="str">
        <x:v>AICO总结</x:v>
      </x:c>
      <x:c r="E287" s="23" t="str">
        <x:v>无tool_calls</x:v>
      </x:c>
      <x:c r="F287" s="21" t="n">
        <x:v>1</x:v>
      </x:c>
      <x:c r="G287" s="21" t="str">
        <x:v>2026-08-14T07:39:07.267</x:v>
      </x:c>
      <x:c r="H287" s="36" t="n">
        <x:v>2460.096</x:v>
      </x:c>
      <x:c r="I287" s="36" t="n">
        <x:f>H287/1000</x:f>
        <x:v>2.460096</x:v>
      </x:c>
      <x:c r="J287" s="21" t="str">
        <x:v>dsv_modify_0814/dsv4_3_aico.jsonl</x:v>
      </x:c>
      <x:c r="K287" s="21" t="n">
        <x:v>122</x:v>
      </x:c>
      <x:c r="L287" s="21" t="str">
        <x:v>original精确文本</x:v>
      </x:c>
    </x:row>
    <x:row r="288">
      <x:c r="A288" s="38" t="n">
        <x:v>43</x:v>
      </x:c>
      <x:c r="B288" s="23" t="str">
        <x:v>确认一下CBN-福州晋安-东浦新村4号楼C-HRHH-513这个小区的电子下倾角和基站标识是多少。</x:v>
      </x:c>
      <x:c r="C288" s="23" t="str">
        <x:v>查询CBN-福州晋安-东浦新村4号楼C-HRHH-513小区的电子下倾角和基站标识</x:v>
      </x:c>
      <x:c r="D288" s="23" t="str">
        <x:v>问题推荐</x:v>
      </x:c>
      <x:c r="E288" s="23" t="str">
        <x:v>后续问题推荐</x:v>
      </x:c>
      <x:c r="F288" s="21" t="n">
        <x:v>1</x:v>
      </x:c>
      <x:c r="G288" s="21" t="str">
        <x:v>2026-08-14T07:39:10.030</x:v>
      </x:c>
      <x:c r="H288" s="36" t="n">
        <x:v>2981.828</x:v>
      </x:c>
      <x:c r="I288" s="36" t="n">
        <x:f>H288/1000</x:f>
        <x:v>2.981828</x:v>
      </x:c>
      <x:c r="J288" s="21" t="str">
        <x:v>dsv_modify_0814/dsv4_3_recipe_ds.jsonl</x:v>
      </x:c>
      <x:c r="K288" s="21" t="n">
        <x:v>82</x:v>
      </x:c>
      <x:c r="L288" s="21" t="str">
        <x:v>original精确文本</x:v>
      </x:c>
    </x:row>
    <x:row r="289">
      <x:c r="A289" s="38" t="n">
        <x:v>44</x:v>
      </x:c>
      <x:c r="B289" s="23" t="str">
        <x:v>找出深圳大梅沙D-HRH-1小区的CGI和站点名称。</x:v>
      </x:c>
      <x:c r="C289" s="23" t="str">
        <x:v>找出深圳大梅沙D-HRH-1小区的CGI和站点名称</x:v>
      </x:c>
      <x:c r="D289" s="23" t="str">
        <x:v>AICO Tool Call - Skill</x:v>
      </x:c>
      <x:c r="E289" s="23" t="str">
        <x:v>Skill</x:v>
      </x:c>
      <x:c r="F289" s="21" t="n">
        <x:v>1</x:v>
      </x:c>
      <x:c r="G289" s="21" t="str">
        <x:v>2026-08-14T07:39:10.897</x:v>
      </x:c>
      <x:c r="H289" s="36" t="n">
        <x:v>2519.058</x:v>
      </x:c>
      <x:c r="I289" s="36" t="n">
        <x:f>H289/1000</x:f>
        <x:v>2.519058</x:v>
      </x:c>
      <x:c r="J289" s="21" t="str">
        <x:v>dsv_modify_0814/dsv4_3_aico.jsonl</x:v>
      </x:c>
      <x:c r="K289" s="21" t="n">
        <x:v>123</x:v>
      </x:c>
      <x:c r="L289" s="21" t="str">
        <x:v>original精确文本</x:v>
      </x:c>
    </x:row>
    <x:row r="290">
      <x:c r="A290" s="38" t="n">
        <x:v>44</x:v>
      </x:c>
      <x:c r="B290" s="23" t="str">
        <x:v>找出深圳大梅沙D-HRH-1小区的CGI和站点名称。</x:v>
      </x:c>
      <x:c r="C290" s="23" t="str">
        <x:v>找出深圳大梅沙D-HRH-1小区的CGI和站点名称</x:v>
      </x:c>
      <x:c r="D290" s="23" t="str">
        <x:v>AICO Tool Call - Workflow</x:v>
      </x:c>
      <x:c r="E290" s="23" t="str">
        <x:v>Workflow</x:v>
      </x:c>
      <x:c r="F290" s="21" t="n">
        <x:v>1</x:v>
      </x:c>
      <x:c r="G290" s="21" t="str">
        <x:v>2026-08-14T07:39:13.578</x:v>
      </x:c>
      <x:c r="H290" s="36" t="n">
        <x:v>2320.79</x:v>
      </x:c>
      <x:c r="I290" s="36" t="n">
        <x:f>H290/1000</x:f>
        <x:v>2.32079</x:v>
      </x:c>
      <x:c r="J290" s="21" t="str">
        <x:v>dsv_modify_0814/dsv4_3_aico.jsonl</x:v>
      </x:c>
      <x:c r="K290" s="21" t="n">
        <x:v>124</x:v>
      </x:c>
      <x:c r="L290" s="21" t="str">
        <x:v>original精确文本</x:v>
      </x:c>
    </x:row>
    <x:row r="291">
      <x:c r="A291" s="38" t="n">
        <x:v>44</x:v>
      </x:c>
      <x:c r="B291" s="23" t="str">
        <x:v>找出深圳大梅沙D-HRH-1小区的CGI和站点名称。</x:v>
      </x:c>
      <x:c r="C291" s="23" t="str">
        <x:v>找出深圳大梅沙D-HRH-1小区的CGI和站点名称</x:v>
      </x:c>
      <x:c r="D291" s="23" t="str">
        <x:v>Recipe - DeepSeek</x:v>
      </x:c>
      <x:c r="E291" s="23" t="str">
        <x:v>DeepSeek recipe调用</x:v>
      </x:c>
      <x:c r="F291" s="21" t="n">
        <x:v>1</x:v>
      </x:c>
      <x:c r="G291" s="21" t="str">
        <x:v>2026-08-14T07:39:17.039</x:v>
      </x:c>
      <x:c r="H291" s="36" t="n">
        <x:v>1502.332</x:v>
      </x:c>
      <x:c r="I291" s="36" t="n">
        <x:f>H291/1000</x:f>
        <x:v>1.502332</x:v>
      </x:c>
      <x:c r="J291" s="21" t="str">
        <x:v>dsv_modify_0814/dsv4_3_recipe_ds.jsonl</x:v>
      </x:c>
      <x:c r="K291" s="21" t="n">
        <x:v>83</x:v>
      </x:c>
      <x:c r="L291" s="21" t="str">
        <x:v>processed精确文本</x:v>
      </x:c>
    </x:row>
    <x:row r="292">
      <x:c r="A292" s="38" t="n">
        <x:v>44</x:v>
      </x:c>
      <x:c r="B292" s="23" t="str">
        <x:v>找出深圳大梅沙D-HRH-1小区的CGI和站点名称。</x:v>
      </x:c>
      <x:c r="C292" s="23" t="str">
        <x:v>找出深圳大梅沙D-HRH-1小区的CGI和站点名称</x:v>
      </x:c>
      <x:c r="D292" s="23" t="str">
        <x:v>Recipe - Qwen执行</x:v>
      </x:c>
      <x:c r="E292" s="23" t="str">
        <x:v>同一问题第1次Qwen调用</x:v>
      </x:c>
      <x:c r="F292" s="21" t="n">
        <x:v>1</x:v>
      </x:c>
      <x:c r="G292" s="21" t="str">
        <x:v>2026-08-14T07:39:18.909</x:v>
      </x:c>
      <x:c r="H292" s="36" t="n">
        <x:v>1523.119</x:v>
      </x:c>
      <x:c r="I292" s="36" t="n">
        <x:f>H292/1000</x:f>
        <x:v>1.523119</x:v>
      </x:c>
      <x:c r="J292" s="21" t="str">
        <x:v>dsv_modify_0814/qwen_3.jsonl</x:v>
      </x:c>
      <x:c r="K292" s="21" t="n">
        <x:v>84</x:v>
      </x:c>
      <x:c r="L292" s="21" t="str">
        <x:v>processed精确文本</x:v>
      </x:c>
    </x:row>
    <x:row r="293">
      <x:c r="A293" s="38" t="n">
        <x:v>44</x:v>
      </x:c>
      <x:c r="B293" s="23" t="str">
        <x:v>找出深圳大梅沙D-HRH-1小区的CGI和站点名称。</x:v>
      </x:c>
      <x:c r="C293" s="23" t="str">
        <x:v>找出深圳大梅沙D-HRH-1小区的CGI和站点名称</x:v>
      </x:c>
      <x:c r="D293" s="23" t="str">
        <x:v>Recipe - Qwen总结</x:v>
      </x:c>
      <x:c r="E293" s="23" t="str">
        <x:v>同一问题最后一次Qwen调用</x:v>
      </x:c>
      <x:c r="F293" s="21" t="n">
        <x:v>1</x:v>
      </x:c>
      <x:c r="G293" s="21" t="str">
        <x:v>2026-08-14T07:39:20.945</x:v>
      </x:c>
      <x:c r="H293" s="36" t="n">
        <x:v>1452.03</x:v>
      </x:c>
      <x:c r="I293" s="36" t="n">
        <x:f>H293/1000</x:f>
        <x:v>1.45203</x:v>
      </x:c>
      <x:c r="J293" s="21" t="str">
        <x:v>dsv_modify_0814/qwen_3.jsonl</x:v>
      </x:c>
      <x:c r="K293" s="21" t="n">
        <x:v>85</x:v>
      </x:c>
      <x:c r="L293" s="21" t="str">
        <x:v>processed精确文本</x:v>
      </x:c>
    </x:row>
    <x:row r="294">
      <x:c r="A294" s="38" t="n">
        <x:v>44</x:v>
      </x:c>
      <x:c r="B294" s="23" t="str">
        <x:v>找出深圳大梅沙D-HRH-1小区的CGI和站点名称。</x:v>
      </x:c>
      <x:c r="C294" s="23" t="str">
        <x:v>找出深圳大梅沙D-HRH-1小区的CGI和站点名称</x:v>
      </x:c>
      <x:c r="D294" s="23" t="str">
        <x:v>AICO总结</x:v>
      </x:c>
      <x:c r="E294" s="23" t="str">
        <x:v>无tool_calls</x:v>
      </x:c>
      <x:c r="F294" s="21" t="n">
        <x:v>1</x:v>
      </x:c>
      <x:c r="G294" s="21" t="str">
        <x:v>2026-08-14T07:39:22.655</x:v>
      </x:c>
      <x:c r="H294" s="36" t="n">
        <x:v>2347.785</x:v>
      </x:c>
      <x:c r="I294" s="36" t="n">
        <x:f>H294/1000</x:f>
        <x:v>2.347785</x:v>
      </x:c>
      <x:c r="J294" s="21" t="str">
        <x:v>dsv_modify_0814/dsv4_3_aico.jsonl</x:v>
      </x:c>
      <x:c r="K294" s="21" t="n">
        <x:v>125</x:v>
      </x:c>
      <x:c r="L294" s="21" t="str">
        <x:v>original精确文本</x:v>
      </x:c>
    </x:row>
    <x:row r="295">
      <x:c r="A295" s="38" t="n">
        <x:v>44</x:v>
      </x:c>
      <x:c r="B295" s="23" t="str">
        <x:v>找出深圳大梅沙D-HRH-1小区的CGI和站点名称。</x:v>
      </x:c>
      <x:c r="C295" s="23" t="str">
        <x:v>找出深圳大梅沙D-HRH-1小区的CGI和站点名称</x:v>
      </x:c>
      <x:c r="D295" s="23" t="str">
        <x:v>问题推荐</x:v>
      </x:c>
      <x:c r="E295" s="23" t="str">
        <x:v>后续问题推荐</x:v>
      </x:c>
      <x:c r="F295" s="21" t="n">
        <x:v>1</x:v>
      </x:c>
      <x:c r="G295" s="21" t="str">
        <x:v>2026-08-14T07:39:25.280</x:v>
      </x:c>
      <x:c r="H295" s="36" t="n">
        <x:v>3028.368</x:v>
      </x:c>
      <x:c r="I295" s="36" t="n">
        <x:f>H295/1000</x:f>
        <x:v>3.028368</x:v>
      </x:c>
      <x:c r="J295" s="21" t="str">
        <x:v>dsv_modify_0814/dsv4_3_recipe_ds.jsonl</x:v>
      </x:c>
      <x:c r="K295" s="21" t="n">
        <x:v>84</x:v>
      </x:c>
      <x:c r="L295" s="21" t="str">
        <x:v>original精确文本</x:v>
      </x:c>
    </x:row>
    <x:row r="296">
      <x:c r="A296" s="38" t="n">
        <x:v>45</x:v>
      </x:c>
      <x:c r="B296" s="23" t="str">
        <x:v>帮我查一下深圳东华风车D-HRH站点下小区的方位角和移动网号。</x:v>
      </x:c>
      <x:c r="C296" s="23" t="str">
        <x:v>查询深圳东华风车D-HRH站点下小区的方位角和移动网号</x:v>
      </x:c>
      <x:c r="D296" s="23" t="str">
        <x:v>AICO Tool Call - Skill</x:v>
      </x:c>
      <x:c r="E296" s="23" t="str">
        <x:v>Skill</x:v>
      </x:c>
      <x:c r="F296" s="21" t="n">
        <x:v>1</x:v>
      </x:c>
      <x:c r="G296" s="21" t="str">
        <x:v>2026-08-14T07:39:26.152</x:v>
      </x:c>
      <x:c r="H296" s="36" t="n">
        <x:v>2934.76</x:v>
      </x:c>
      <x:c r="I296" s="36" t="n">
        <x:f>H296/1000</x:f>
        <x:v>2.9347600000000003</x:v>
      </x:c>
      <x:c r="J296" s="21" t="str">
        <x:v>dsv_modify_0814/dsv4_3_aico.jsonl</x:v>
      </x:c>
      <x:c r="K296" s="21" t="n">
        <x:v>126</x:v>
      </x:c>
      <x:c r="L296" s="21" t="str">
        <x:v>original精确文本</x:v>
      </x:c>
    </x:row>
    <x:row r="297">
      <x:c r="A297" s="38" t="n">
        <x:v>45</x:v>
      </x:c>
      <x:c r="B297" s="23" t="str">
        <x:v>帮我查一下深圳东华风车D-HRH站点下小区的方位角和移动网号。</x:v>
      </x:c>
      <x:c r="C297" s="23" t="str">
        <x:v>查询深圳东华风车D-HRH站点下小区的方位角和移动网号</x:v>
      </x:c>
      <x:c r="D297" s="23" t="str">
        <x:v>AICO Tool Call - Workflow</x:v>
      </x:c>
      <x:c r="E297" s="23" t="str">
        <x:v>Workflow</x:v>
      </x:c>
      <x:c r="F297" s="21" t="n">
        <x:v>1</x:v>
      </x:c>
      <x:c r="G297" s="21" t="str">
        <x:v>2026-08-14T07:39:29.258</x:v>
      </x:c>
      <x:c r="H297" s="36" t="n">
        <x:v>2440.887</x:v>
      </x:c>
      <x:c r="I297" s="36" t="n">
        <x:f>H297/1000</x:f>
        <x:v>2.440887</x:v>
      </x:c>
      <x:c r="J297" s="21" t="str">
        <x:v>dsv_modify_0814/dsv4_3_aico.jsonl</x:v>
      </x:c>
      <x:c r="K297" s="21" t="n">
        <x:v>127</x:v>
      </x:c>
      <x:c r="L297" s="21" t="str">
        <x:v>original精确文本</x:v>
      </x:c>
    </x:row>
    <x:row r="298">
      <x:c r="A298" s="38" t="n">
        <x:v>45</x:v>
      </x:c>
      <x:c r="B298" s="23" t="str">
        <x:v>帮我查一下深圳东华风车D-HRH站点下小区的方位角和移动网号。</x:v>
      </x:c>
      <x:c r="C298" s="23" t="str">
        <x:v>查询深圳东华风车D-HRH站点下小区的方位角和移动网号</x:v>
      </x:c>
      <x:c r="D298" s="23" t="str">
        <x:v>Recipe - DeepSeek</x:v>
      </x:c>
      <x:c r="E298" s="23" t="str">
        <x:v>DeepSeek recipe调用</x:v>
      </x:c>
      <x:c r="F298" s="21" t="n">
        <x:v>1</x:v>
      </x:c>
      <x:c r="G298" s="21" t="str">
        <x:v>2026-08-14T07:39:32.798</x:v>
      </x:c>
      <x:c r="H298" s="36" t="n">
        <x:v>1778.372</x:v>
      </x:c>
      <x:c r="I298" s="36" t="n">
        <x:f>H298/1000</x:f>
        <x:v>1.778372</x:v>
      </x:c>
      <x:c r="J298" s="21" t="str">
        <x:v>dsv_modify_0814/dsv4_3_recipe_ds.jsonl</x:v>
      </x:c>
      <x:c r="K298" s="21" t="n">
        <x:v>85</x:v>
      </x:c>
      <x:c r="L298" s="21" t="str">
        <x:v>processed精确文本</x:v>
      </x:c>
    </x:row>
    <x:row r="299">
      <x:c r="A299" s="38" t="n">
        <x:v>45</x:v>
      </x:c>
      <x:c r="B299" s="23" t="str">
        <x:v>帮我查一下深圳东华风车D-HRH站点下小区的方位角和移动网号。</x:v>
      </x:c>
      <x:c r="C299" s="23" t="str">
        <x:v>查询深圳东华风车D-HRH站点下小区的方位角和移动网号</x:v>
      </x:c>
      <x:c r="D299" s="23" t="str">
        <x:v>Recipe - Qwen执行</x:v>
      </x:c>
      <x:c r="E299" s="23" t="str">
        <x:v>同一问题第1次Qwen调用</x:v>
      </x:c>
      <x:c r="F299" s="21" t="n">
        <x:v>1</x:v>
      </x:c>
      <x:c r="G299" s="21" t="str">
        <x:v>2026-08-14T07:39:34.927</x:v>
      </x:c>
      <x:c r="H299" s="36" t="n">
        <x:v>1529.756</x:v>
      </x:c>
      <x:c r="I299" s="36" t="n">
        <x:f>H299/1000</x:f>
        <x:v>1.5297560000000001</x:v>
      </x:c>
      <x:c r="J299" s="21" t="str">
        <x:v>dsv_modify_0814/qwen_3.jsonl</x:v>
      </x:c>
      <x:c r="K299" s="21" t="n">
        <x:v>86</x:v>
      </x:c>
      <x:c r="L299" s="21" t="str">
        <x:v>processed精确文本</x:v>
      </x:c>
    </x:row>
    <x:row r="300">
      <x:c r="A300" s="38" t="n">
        <x:v>45</x:v>
      </x:c>
      <x:c r="B300" s="23" t="str">
        <x:v>帮我查一下深圳东华风车D-HRH站点下小区的方位角和移动网号。</x:v>
      </x:c>
      <x:c r="C300" s="23" t="str">
        <x:v>查询深圳东华风车D-HRH站点下小区的方位角和移动网号</x:v>
      </x:c>
      <x:c r="D300" s="23" t="str">
        <x:v>Recipe - Qwen总结</x:v>
      </x:c>
      <x:c r="E300" s="23" t="str">
        <x:v>同一问题最后一次Qwen调用</x:v>
      </x:c>
      <x:c r="F300" s="21" t="n">
        <x:v>1</x:v>
      </x:c>
      <x:c r="G300" s="21" t="str">
        <x:v>2026-08-14T07:39:36.960</x:v>
      </x:c>
      <x:c r="H300" s="36" t="n">
        <x:v>1691.13</x:v>
      </x:c>
      <x:c r="I300" s="36" t="n">
        <x:f>H300/1000</x:f>
        <x:v>1.69113</x:v>
      </x:c>
      <x:c r="J300" s="21" t="str">
        <x:v>dsv_modify_0814/qwen_3.jsonl</x:v>
      </x:c>
      <x:c r="K300" s="21" t="n">
        <x:v>87</x:v>
      </x:c>
      <x:c r="L300" s="21" t="str">
        <x:v>processed精确文本</x:v>
      </x:c>
    </x:row>
    <x:row r="301">
      <x:c r="A301" s="38" t="n">
        <x:v>45</x:v>
      </x:c>
      <x:c r="B301" s="23" t="str">
        <x:v>帮我查一下深圳东华风车D-HRH站点下小区的方位角和移动网号。</x:v>
      </x:c>
      <x:c r="C301" s="23" t="str">
        <x:v>查询深圳东华风车D-HRH站点下小区的方位角和移动网号</x:v>
      </x:c>
      <x:c r="D301" s="23" t="str">
        <x:v>AICO总结</x:v>
      </x:c>
      <x:c r="E301" s="23" t="str">
        <x:v>无tool_calls</x:v>
      </x:c>
      <x:c r="F301" s="21" t="n">
        <x:v>1</x:v>
      </x:c>
      <x:c r="G301" s="21" t="str">
        <x:v>2026-08-14T07:39:38.905</x:v>
      </x:c>
      <x:c r="H301" s="36" t="n">
        <x:v>2849.902</x:v>
      </x:c>
      <x:c r="I301" s="36" t="n">
        <x:f>H301/1000</x:f>
        <x:v>2.849902</x:v>
      </x:c>
      <x:c r="J301" s="21" t="str">
        <x:v>dsv_modify_0814/dsv4_3_aico.jsonl</x:v>
      </x:c>
      <x:c r="K301" s="21" t="n">
        <x:v>128</x:v>
      </x:c>
      <x:c r="L301" s="21" t="str">
        <x:v>original精确文本</x:v>
      </x:c>
    </x:row>
    <x:row r="302">
      <x:c r="A302" s="38" t="n">
        <x:v>45</x:v>
      </x:c>
      <x:c r="B302" s="23" t="str">
        <x:v>帮我查一下深圳东华风车D-HRH站点下小区的方位角和移动网号。</x:v>
      </x:c>
      <x:c r="C302" s="23" t="str">
        <x:v>查询深圳东华风车D-HRH站点下小区的方位角和移动网号</x:v>
      </x:c>
      <x:c r="D302" s="23" t="str">
        <x:v>问题推荐</x:v>
      </x:c>
      <x:c r="E302" s="23" t="str">
        <x:v>后续问题推荐</x:v>
      </x:c>
      <x:c r="F302" s="21" t="n">
        <x:v>1</x:v>
      </x:c>
      <x:c r="G302" s="21" t="str">
        <x:v>2026-08-14T07:39:42.027</x:v>
      </x:c>
      <x:c r="H302" s="36" t="n">
        <x:v>3211.943</x:v>
      </x:c>
      <x:c r="I302" s="36" t="n">
        <x:f>H302/1000</x:f>
        <x:v>3.211943</x:v>
      </x:c>
      <x:c r="J302" s="21" t="str">
        <x:v>dsv_modify_0814/dsv4_3_recipe_ds.jsonl</x:v>
      </x:c>
      <x:c r="K302" s="21" t="n">
        <x:v>86</x:v>
      </x:c>
      <x:c r="L302" s="21" t="str">
        <x:v>original精确文本</x:v>
      </x:c>
    </x:row>
    <x:row r="303">
      <x:c r="A303" s="38" t="n">
        <x:v>46</x:v>
      </x:c>
      <x:c r="B303" s="23" t="str">
        <x:v>帮我查一下深圳梅沙湾D-HRH-3和深圳梅沙湾二D-HRH-1这两个小区的方位角、电子下倾角以及设备厂商。</x:v>
      </x:c>
      <x:c r="C303" s="23" t="str">
        <x:v>查询深圳梅沙湾D-HRH-3和深圳梅沙湾二D-HRH-1这两个小区的方位角、电子下倾角以及设备厂商</x:v>
      </x:c>
      <x:c r="D303" s="23" t="str">
        <x:v>AICO Tool Call - Skill</x:v>
      </x:c>
      <x:c r="E303" s="23" t="str">
        <x:v>Skill</x:v>
      </x:c>
      <x:c r="F303" s="21" t="n">
        <x:v>1</x:v>
      </x:c>
      <x:c r="G303" s="21" t="str">
        <x:v>2026-08-14T07:39:42.911</x:v>
      </x:c>
      <x:c r="H303" s="36" t="n">
        <x:v>2977.15</x:v>
      </x:c>
      <x:c r="I303" s="36" t="n">
        <x:f>H303/1000</x:f>
        <x:v>2.97715</x:v>
      </x:c>
      <x:c r="J303" s="21" t="str">
        <x:v>dsv_modify_0814/dsv4_3_aico.jsonl</x:v>
      </x:c>
      <x:c r="K303" s="21" t="n">
        <x:v>129</x:v>
      </x:c>
      <x:c r="L303" s="21" t="str">
        <x:v>original精确文本</x:v>
      </x:c>
    </x:row>
    <x:row r="304">
      <x:c r="A304" s="38" t="n">
        <x:v>46</x:v>
      </x:c>
      <x:c r="B304" s="23" t="str">
        <x:v>帮我查一下深圳梅沙湾D-HRH-3和深圳梅沙湾二D-HRH-1这两个小区的方位角、电子下倾角以及设备厂商。</x:v>
      </x:c>
      <x:c r="C304" s="23" t="str">
        <x:v>查询深圳梅沙湾D-HRH-3和深圳梅沙湾二D-HRH-1这两个小区的方位角、电子下倾角以及设备厂商</x:v>
      </x:c>
      <x:c r="D304" s="23" t="str">
        <x:v>AICO Tool Call - Workflow</x:v>
      </x:c>
      <x:c r="E304" s="23" t="str">
        <x:v>Workflow</x:v>
      </x:c>
      <x:c r="F304" s="21" t="n">
        <x:v>1</x:v>
      </x:c>
      <x:c r="G304" s="21" t="str">
        <x:v>2026-08-14T07:39:46.045</x:v>
      </x:c>
      <x:c r="H304" s="36" t="n">
        <x:v>2432.42</x:v>
      </x:c>
      <x:c r="I304" s="36" t="n">
        <x:f>H304/1000</x:f>
        <x:v>2.43242</x:v>
      </x:c>
      <x:c r="J304" s="21" t="str">
        <x:v>dsv_modify_0814/dsv4_3_aico.jsonl</x:v>
      </x:c>
      <x:c r="K304" s="21" t="n">
        <x:v>130</x:v>
      </x:c>
      <x:c r="L304" s="21" t="str">
        <x:v>original精确文本</x:v>
      </x:c>
    </x:row>
    <x:row r="305">
      <x:c r="A305" s="38" t="n">
        <x:v>46</x:v>
      </x:c>
      <x:c r="B305" s="23" t="str">
        <x:v>帮我查一下深圳梅沙湾D-HRH-3和深圳梅沙湾二D-HRH-1这两个小区的方位角、电子下倾角以及设备厂商。</x:v>
      </x:c>
      <x:c r="C305" s="23" t="str">
        <x:v>查询深圳梅沙湾D-HRH-3和深圳梅沙湾二D-HRH-1这两个小区的方位角、电子下倾角以及设备厂商</x:v>
      </x:c>
      <x:c r="D305" s="23" t="str">
        <x:v>Recipe - DeepSeek</x:v>
      </x:c>
      <x:c r="E305" s="23" t="str">
        <x:v>DeepSeek recipe调用</x:v>
      </x:c>
      <x:c r="F305" s="21" t="n">
        <x:v>1</x:v>
      </x:c>
      <x:c r="G305" s="21" t="str">
        <x:v>2026-08-14T07:39:49.923</x:v>
      </x:c>
      <x:c r="H305" s="36" t="n">
        <x:v>1777.729</x:v>
      </x:c>
      <x:c r="I305" s="36" t="n">
        <x:f>H305/1000</x:f>
        <x:v>1.7777290000000001</x:v>
      </x:c>
      <x:c r="J305" s="21" t="str">
        <x:v>dsv_modify_0814/dsv4_3_recipe_ds.jsonl</x:v>
      </x:c>
      <x:c r="K305" s="21" t="n">
        <x:v>87</x:v>
      </x:c>
      <x:c r="L305" s="21" t="str">
        <x:v>processed精确文本</x:v>
      </x:c>
    </x:row>
    <x:row r="306">
      <x:c r="A306" s="38" t="n">
        <x:v>46</x:v>
      </x:c>
      <x:c r="B306" s="23" t="str">
        <x:v>帮我查一下深圳梅沙湾D-HRH-3和深圳梅沙湾二D-HRH-1这两个小区的方位角、电子下倾角以及设备厂商。</x:v>
      </x:c>
      <x:c r="C306" s="23" t="str">
        <x:v>查询深圳梅沙湾D-HRH-3和深圳梅沙湾二D-HRH-1这两个小区的方位角、电子下倾角以及设备厂商</x:v>
      </x:c>
      <x:c r="D306" s="23" t="str">
        <x:v>Recipe - Qwen执行</x:v>
      </x:c>
      <x:c r="E306" s="23" t="str">
        <x:v>同一问题第1次Qwen调用</x:v>
      </x:c>
      <x:c r="F306" s="21" t="n">
        <x:v>1</x:v>
      </x:c>
      <x:c r="G306" s="21" t="str">
        <x:v>2026-08-14T07:39:52.021</x:v>
      </x:c>
      <x:c r="H306" s="36" t="n">
        <x:v>1606.142</x:v>
      </x:c>
      <x:c r="I306" s="36" t="n">
        <x:f>H306/1000</x:f>
        <x:v>1.606142</x:v>
      </x:c>
      <x:c r="J306" s="21" t="str">
        <x:v>dsv_modify_0814/qwen_3.jsonl</x:v>
      </x:c>
      <x:c r="K306" s="21" t="n">
        <x:v>88</x:v>
      </x:c>
      <x:c r="L306" s="21" t="str">
        <x:v>processed精确文本</x:v>
      </x:c>
    </x:row>
    <x:row r="307">
      <x:c r="A307" s="38" t="n">
        <x:v>46</x:v>
      </x:c>
      <x:c r="B307" s="23" t="str">
        <x:v>帮我查一下深圳梅沙湾D-HRH-3和深圳梅沙湾二D-HRH-1这两个小区的方位角、电子下倾角以及设备厂商。</x:v>
      </x:c>
      <x:c r="C307" s="23" t="str">
        <x:v>查询深圳梅沙湾D-HRH-3和深圳梅沙湾二D-HRH-1这两个小区的方位角、电子下倾角以及设备厂商</x:v>
      </x:c>
      <x:c r="D307" s="23" t="str">
        <x:v>Recipe - Qwen总结</x:v>
      </x:c>
      <x:c r="E307" s="23" t="str">
        <x:v>同一问题最后一次Qwen调用</x:v>
      </x:c>
      <x:c r="F307" s="21" t="n">
        <x:v>1</x:v>
      </x:c>
      <x:c r="G307" s="21" t="str">
        <x:v>2026-08-14T07:39:54.095</x:v>
      </x:c>
      <x:c r="H307" s="36" t="n">
        <x:v>1660.626</x:v>
      </x:c>
      <x:c r="I307" s="36" t="n">
        <x:f>H307/1000</x:f>
        <x:v>1.660626</x:v>
      </x:c>
      <x:c r="J307" s="21" t="str">
        <x:v>dsv_modify_0814/qwen_3.jsonl</x:v>
      </x:c>
      <x:c r="K307" s="21" t="n">
        <x:v>89</x:v>
      </x:c>
      <x:c r="L307" s="21" t="str">
        <x:v>processed精确文本</x:v>
      </x:c>
    </x:row>
    <x:row r="308">
      <x:c r="A308" s="38" t="n">
        <x:v>46</x:v>
      </x:c>
      <x:c r="B308" s="23" t="str">
        <x:v>帮我查一下深圳梅沙湾D-HRH-3和深圳梅沙湾二D-HRH-1这两个小区的方位角、电子下倾角以及设备厂商。</x:v>
      </x:c>
      <x:c r="C308" s="23" t="str">
        <x:v>查询深圳梅沙湾D-HRH-3和深圳梅沙湾二D-HRH-1这两个小区的方位角、电子下倾角以及设备厂商</x:v>
      </x:c>
      <x:c r="D308" s="23" t="str">
        <x:v>AICO总结</x:v>
      </x:c>
      <x:c r="E308" s="23" t="str">
        <x:v>无tool_calls</x:v>
      </x:c>
      <x:c r="F308" s="21" t="n">
        <x:v>1</x:v>
      </x:c>
      <x:c r="G308" s="21" t="str">
        <x:v>2026-08-14T07:39:56.042</x:v>
      </x:c>
      <x:c r="H308" s="36" t="n">
        <x:v>2936.469</x:v>
      </x:c>
      <x:c r="I308" s="36" t="n">
        <x:f>H308/1000</x:f>
        <x:v>2.936469</x:v>
      </x:c>
      <x:c r="J308" s="21" t="str">
        <x:v>dsv_modify_0814/dsv4_3_aico.jsonl</x:v>
      </x:c>
      <x:c r="K308" s="21" t="n">
        <x:v>131</x:v>
      </x:c>
      <x:c r="L308" s="21" t="str">
        <x:v>original精确文本</x:v>
      </x:c>
    </x:row>
    <x:row r="309">
      <x:c r="A309" s="38" t="n">
        <x:v>46</x:v>
      </x:c>
      <x:c r="B309" s="23" t="str">
        <x:v>帮我查一下深圳梅沙湾D-HRH-3和深圳梅沙湾二D-HRH-1这两个小区的方位角、电子下倾角以及设备厂商。</x:v>
      </x:c>
      <x:c r="C309" s="23" t="str">
        <x:v>查询深圳梅沙湾D-HRH-3和深圳梅沙湾二D-HRH-1这两个小区的方位角、电子下倾角以及设备厂商</x:v>
      </x:c>
      <x:c r="D309" s="23" t="str">
        <x:v>问题推荐</x:v>
      </x:c>
      <x:c r="E309" s="23" t="str">
        <x:v>后续问题推荐</x:v>
      </x:c>
      <x:c r="F309" s="21" t="n">
        <x:v>1</x:v>
      </x:c>
      <x:c r="G309" s="21" t="str">
        <x:v>2026-08-14T07:39:59.271</x:v>
      </x:c>
      <x:c r="H309" s="36" t="n">
        <x:v>3204.013</x:v>
      </x:c>
      <x:c r="I309" s="36" t="n">
        <x:f>H309/1000</x:f>
        <x:v>3.2040129999999998</x:v>
      </x:c>
      <x:c r="J309" s="21" t="str">
        <x:v>dsv_modify_0814/dsv4_3_recipe_ds.jsonl</x:v>
      </x:c>
      <x:c r="K309" s="21" t="n">
        <x:v>88</x:v>
      </x:c>
      <x:c r="L309" s="21" t="str">
        <x:v>original精确文本</x:v>
      </x:c>
    </x:row>
    <x:row r="310">
      <x:c r="A310" s="38" t="n">
        <x:v>47</x:v>
      </x:c>
      <x:c r="B310" s="23" t="str">
        <x:v>看一下CBN-深圳大梅沙U-H5H和深圳大梅沙二D-HRH这两个站点下小区的纬度、机械下倾角和小区标识。</x:v>
      </x:c>
      <x:c r="C310" s="23" t="str">
        <x:v>查询CBN-深圳大梅沙U-H5H和深圳大梅沙二D-HRH这两个站点下小区的纬度、机械下倾角和小区标识</x:v>
      </x:c>
      <x:c r="D310" s="23" t="str">
        <x:v>AICO Tool Call - Skill</x:v>
      </x:c>
      <x:c r="E310" s="23" t="str">
        <x:v>Skill</x:v>
      </x:c>
      <x:c r="F310" s="21" t="n">
        <x:v>1</x:v>
      </x:c>
      <x:c r="G310" s="21" t="str">
        <x:v>2026-08-14T07:40:00.145</x:v>
      </x:c>
      <x:c r="H310" s="36" t="n">
        <x:v>2609.87</x:v>
      </x:c>
      <x:c r="I310" s="36" t="n">
        <x:f>H310/1000</x:f>
        <x:v>2.60987</x:v>
      </x:c>
      <x:c r="J310" s="21" t="str">
        <x:v>dsv_modify_0814/dsv4_3_aico.jsonl</x:v>
      </x:c>
      <x:c r="K310" s="21" t="n">
        <x:v>132</x:v>
      </x:c>
      <x:c r="L310" s="21" t="str">
        <x:v>original精确文本</x:v>
      </x:c>
    </x:row>
    <x:row r="311">
      <x:c r="A311" s="38" t="n">
        <x:v>47</x:v>
      </x:c>
      <x:c r="B311" s="23" t="str">
        <x:v>看一下CBN-深圳大梅沙U-H5H和深圳大梅沙二D-HRH这两个站点下小区的纬度、机械下倾角和小区标识。</x:v>
      </x:c>
      <x:c r="C311" s="23" t="str">
        <x:v>查询CBN-深圳大梅沙U-H5H和深圳大梅沙二D-HRH这两个站点下小区的纬度、机械下倾角和小区标识</x:v>
      </x:c>
      <x:c r="D311" s="23" t="str">
        <x:v>AICO Tool Call - Workflow</x:v>
      </x:c>
      <x:c r="E311" s="23" t="str">
        <x:v>Workflow</x:v>
      </x:c>
      <x:c r="F311" s="21" t="n">
        <x:v>1</x:v>
      </x:c>
      <x:c r="G311" s="21" t="str">
        <x:v>2026-08-14T07:40:02.907</x:v>
      </x:c>
      <x:c r="H311" s="36" t="n">
        <x:v>2470.995</x:v>
      </x:c>
      <x:c r="I311" s="36" t="n">
        <x:f>H311/1000</x:f>
        <x:v>2.470995</x:v>
      </x:c>
      <x:c r="J311" s="21" t="str">
        <x:v>dsv_modify_0814/dsv4_3_aico.jsonl</x:v>
      </x:c>
      <x:c r="K311" s="21" t="n">
        <x:v>133</x:v>
      </x:c>
      <x:c r="L311" s="21" t="str">
        <x:v>original精确文本</x:v>
      </x:c>
    </x:row>
    <x:row r="312">
      <x:c r="A312" s="38" t="n">
        <x:v>47</x:v>
      </x:c>
      <x:c r="B312" s="23" t="str">
        <x:v>看一下CBN-深圳大梅沙U-H5H和深圳大梅沙二D-HRH这两个站点下小区的纬度、机械下倾角和小区标识。</x:v>
      </x:c>
      <x:c r="C312" s="23" t="str">
        <x:v>查询CBN-深圳大梅沙U-H5H和深圳大梅沙二D-HRH这两个站点下小区的纬度、机械下倾角和小区标识</x:v>
      </x:c>
      <x:c r="D312" s="23" t="str">
        <x:v>Recipe - DeepSeek</x:v>
      </x:c>
      <x:c r="E312" s="23" t="str">
        <x:v>DeepSeek recipe调用</x:v>
      </x:c>
      <x:c r="F312" s="21" t="n">
        <x:v>1</x:v>
      </x:c>
      <x:c r="G312" s="21" t="str">
        <x:v>2026-08-14T07:40:06.759</x:v>
      </x:c>
      <x:c r="H312" s="36" t="n">
        <x:v>1804.702</x:v>
      </x:c>
      <x:c r="I312" s="36" t="n">
        <x:f>H312/1000</x:f>
        <x:v>1.804702</x:v>
      </x:c>
      <x:c r="J312" s="21" t="str">
        <x:v>dsv_modify_0814/dsv4_3_recipe_ds.jsonl</x:v>
      </x:c>
      <x:c r="K312" s="21" t="n">
        <x:v>89</x:v>
      </x:c>
      <x:c r="L312" s="21" t="str">
        <x:v>processed精确文本</x:v>
      </x:c>
    </x:row>
    <x:row r="313">
      <x:c r="A313" s="38" t="n">
        <x:v>47</x:v>
      </x:c>
      <x:c r="B313" s="23" t="str">
        <x:v>看一下CBN-深圳大梅沙U-H5H和深圳大梅沙二D-HRH这两个站点下小区的纬度、机械下倾角和小区标识。</x:v>
      </x:c>
      <x:c r="C313" s="23" t="str">
        <x:v>查询CBN-深圳大梅沙U-H5H和深圳大梅沙二D-HRH这两个站点下小区的纬度、机械下倾角和小区标识</x:v>
      </x:c>
      <x:c r="D313" s="23" t="str">
        <x:v>Recipe - Qwen执行</x:v>
      </x:c>
      <x:c r="E313" s="23" t="str">
        <x:v>同一问题第1次Qwen调用</x:v>
      </x:c>
      <x:c r="F313" s="21" t="n">
        <x:v>1</x:v>
      </x:c>
      <x:c r="G313" s="21" t="str">
        <x:v>2026-08-14T07:40:08.928</x:v>
      </x:c>
      <x:c r="H313" s="36" t="n">
        <x:v>1981.209</x:v>
      </x:c>
      <x:c r="I313" s="36" t="n">
        <x:f>H313/1000</x:f>
        <x:v>1.981209</x:v>
      </x:c>
      <x:c r="J313" s="21" t="str">
        <x:v>dsv_modify_0814/qwen_3.jsonl</x:v>
      </x:c>
      <x:c r="K313" s="21" t="n">
        <x:v>90</x:v>
      </x:c>
      <x:c r="L313" s="21" t="str">
        <x:v>processed精确文本</x:v>
      </x:c>
    </x:row>
    <x:row r="314">
      <x:c r="A314" s="38" t="n">
        <x:v>47</x:v>
      </x:c>
      <x:c r="B314" s="23" t="str">
        <x:v>看一下CBN-深圳大梅沙U-H5H和深圳大梅沙二D-HRH这两个站点下小区的纬度、机械下倾角和小区标识。</x:v>
      </x:c>
      <x:c r="C314" s="23" t="str">
        <x:v>查询CBN-深圳大梅沙U-H5H和深圳大梅沙二D-HRH这两个站点下小区的纬度、机械下倾角和小区标识</x:v>
      </x:c>
      <x:c r="D314" s="23" t="str">
        <x:v>Recipe - Qwen总结</x:v>
      </x:c>
      <x:c r="E314" s="23" t="str">
        <x:v>同一问题最后一次Qwen调用</x:v>
      </x:c>
      <x:c r="F314" s="21" t="n">
        <x:v>1</x:v>
      </x:c>
      <x:c r="G314" s="21" t="str">
        <x:v>2026-08-14T07:40:11.420</x:v>
      </x:c>
      <x:c r="H314" s="36" t="n">
        <x:v>1925.51</x:v>
      </x:c>
      <x:c r="I314" s="36" t="n">
        <x:f>H314/1000</x:f>
        <x:v>1.92551</x:v>
      </x:c>
      <x:c r="J314" s="21" t="str">
        <x:v>dsv_modify_0814/qwen_3.jsonl</x:v>
      </x:c>
      <x:c r="K314" s="21" t="n">
        <x:v>91</x:v>
      </x:c>
      <x:c r="L314" s="21" t="str">
        <x:v>processed精确文本</x:v>
      </x:c>
    </x:row>
    <x:row r="315">
      <x:c r="A315" s="38" t="n">
        <x:v>47</x:v>
      </x:c>
      <x:c r="B315" s="23" t="str">
        <x:v>看一下CBN-深圳大梅沙U-H5H和深圳大梅沙二D-HRH这两个站点下小区的纬度、机械下倾角和小区标识。</x:v>
      </x:c>
      <x:c r="C315" s="23" t="str">
        <x:v>查询CBN-深圳大梅沙U-H5H和深圳大梅沙二D-HRH这两个站点下小区的纬度、机械下倾角和小区标识</x:v>
      </x:c>
      <x:c r="D315" s="23" t="str">
        <x:v>AICO其他工具</x:v>
      </x:c>
      <x:c r="E315" s="23" t="str">
        <x:v>Glob</x:v>
      </x:c>
      <x:c r="F315" s="21" t="n">
        <x:v>1</x:v>
      </x:c>
      <x:c r="G315" s="21" t="str">
        <x:v>2026-08-14T07:40:13.624</x:v>
      </x:c>
      <x:c r="H315" s="36" t="n">
        <x:v>2128.926</x:v>
      </x:c>
      <x:c r="I315" s="36" t="n">
        <x:f>H315/1000</x:f>
        <x:v>2.128926</x:v>
      </x:c>
      <x:c r="J315" s="21" t="str">
        <x:v>dsv_modify_0814/dsv4_3_aico.jsonl</x:v>
      </x:c>
      <x:c r="K315" s="21" t="n">
        <x:v>134</x:v>
      </x:c>
      <x:c r="L315" s="21" t="str">
        <x:v>original精确文本</x:v>
      </x:c>
    </x:row>
    <x:row r="316">
      <x:c r="A316" s="38" t="n">
        <x:v>47</x:v>
      </x:c>
      <x:c r="B316" s="23" t="str">
        <x:v>看一下CBN-深圳大梅沙U-H5H和深圳大梅沙二D-HRH这两个站点下小区的纬度、机械下倾角和小区标识。</x:v>
      </x:c>
      <x:c r="C316" s="23" t="str">
        <x:v>查询CBN-深圳大梅沙U-H5H和深圳大梅沙二D-HRH这两个站点下小区的纬度、机械下倾角和小区标识</x:v>
      </x:c>
      <x:c r="D316" s="23" t="str">
        <x:v>AICO其他工具</x:v>
      </x:c>
      <x:c r="E316" s="23" t="str">
        <x:v>Glob</x:v>
      </x:c>
      <x:c r="F316" s="21" t="n">
        <x:v>2</x:v>
      </x:c>
      <x:c r="G316" s="21" t="str">
        <x:v>2026-08-14T07:40:15.923</x:v>
      </x:c>
      <x:c r="H316" s="36" t="n">
        <x:v>1999.4</x:v>
      </x:c>
      <x:c r="I316" s="36" t="n">
        <x:f>H316/1000</x:f>
        <x:v>1.9994</x:v>
      </x:c>
      <x:c r="J316" s="21" t="str">
        <x:v>dsv_modify_0814/dsv4_3_aico.jsonl</x:v>
      </x:c>
      <x:c r="K316" s="21" t="n">
        <x:v>135</x:v>
      </x:c>
      <x:c r="L316" s="21" t="str">
        <x:v>original精确文本</x:v>
      </x:c>
    </x:row>
    <x:row r="317">
      <x:c r="A317" s="38" t="n">
        <x:v>47</x:v>
      </x:c>
      <x:c r="B317" s="23" t="str">
        <x:v>看一下CBN-深圳大梅沙U-H5H和深圳大梅沙二D-HRH这两个站点下小区的纬度、机械下倾角和小区标识。</x:v>
      </x:c>
      <x:c r="C317" s="23" t="str">
        <x:v>查询CBN-深圳大梅沙U-H5H和深圳大梅沙二D-HRH这两个站点下小区的纬度、机械下倾角和小区标识</x:v>
      </x:c>
      <x:c r="D317" s="23" t="str">
        <x:v>AICO总结</x:v>
      </x:c>
      <x:c r="E317" s="23" t="str">
        <x:v>无tool_calls</x:v>
      </x:c>
      <x:c r="F317" s="21" t="n">
        <x:v>1</x:v>
      </x:c>
      <x:c r="G317" s="21" t="str">
        <x:v>2026-08-14T07:40:18.084</x:v>
      </x:c>
      <x:c r="H317" s="36" t="n">
        <x:v>3559.696</x:v>
      </x:c>
      <x:c r="I317" s="36" t="n">
        <x:f>H317/1000</x:f>
        <x:v>3.5596959999999997</x:v>
      </x:c>
      <x:c r="J317" s="21" t="str">
        <x:v>dsv_modify_0814/dsv4_3_aico.jsonl</x:v>
      </x:c>
      <x:c r="K317" s="21" t="n">
        <x:v>136</x:v>
      </x:c>
      <x:c r="L317" s="21" t="str">
        <x:v>original精确文本</x:v>
      </x:c>
    </x:row>
    <x:row r="318">
      <x:c r="A318" s="38" t="n">
        <x:v>47</x:v>
      </x:c>
      <x:c r="B318" s="23" t="str">
        <x:v>看一下CBN-深圳大梅沙U-H5H和深圳大梅沙二D-HRH这两个站点下小区的纬度、机械下倾角和小区标识。</x:v>
      </x:c>
      <x:c r="C318" s="23" t="str">
        <x:v>查询CBN-深圳大梅沙U-H5H和深圳大梅沙二D-HRH这两个站点下小区的纬度、机械下倾角和小区标识</x:v>
      </x:c>
      <x:c r="D318" s="23" t="str">
        <x:v>问题推荐</x:v>
      </x:c>
      <x:c r="E318" s="23" t="str">
        <x:v>后续问题推荐</x:v>
      </x:c>
      <x:c r="F318" s="21" t="n">
        <x:v>1</x:v>
      </x:c>
      <x:c r="G318" s="21" t="str">
        <x:v>2026-08-14T07:40:21.943</x:v>
      </x:c>
      <x:c r="H318" s="36" t="n">
        <x:v>3278.173</x:v>
      </x:c>
      <x:c r="I318" s="36" t="n">
        <x:f>H318/1000</x:f>
        <x:v>3.278173</x:v>
      </x:c>
      <x:c r="J318" s="21" t="str">
        <x:v>dsv_modify_0814/dsv4_3_recipe_ds.jsonl</x:v>
      </x:c>
      <x:c r="K318" s="21" t="n">
        <x:v>90</x:v>
      </x:c>
      <x:c r="L318" s="21" t="str">
        <x:v>original精确文本</x:v>
      </x:c>
    </x:row>
    <x:row r="319">
      <x:c r="A319" s="38" t="n">
        <x:v>48</x:v>
      </x:c>
      <x:c r="B319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19" s="23" t="str">
        <x:v>对比CBN-福州仓山-福厦高铁鸡笼山隧道C-HRRH-513、CBN-福州仓山-火车南站东南美化塔C-HRHH-518和CBN-福州仓山-永南路与站后路交叉口C-HRHH-516这三个小区的基站标识、移动网号和天线高度</x:v>
      </x:c>
      <x:c r="D319" s="23" t="str">
        <x:v>AICO Tool Call - Skill</x:v>
      </x:c>
      <x:c r="E319" s="23" t="str">
        <x:v>Skill</x:v>
      </x:c>
      <x:c r="F319" s="21" t="n">
        <x:v>1</x:v>
      </x:c>
      <x:c r="G319" s="21" t="str">
        <x:v>2026-08-14T07:40:22.793</x:v>
      </x:c>
      <x:c r="H319" s="36" t="n">
        <x:v>2841.384</x:v>
      </x:c>
      <x:c r="I319" s="36" t="n">
        <x:f>H319/1000</x:f>
        <x:v>2.841384</x:v>
      </x:c>
      <x:c r="J319" s="21" t="str">
        <x:v>dsv_modify_0814/dsv4_3_aico.jsonl</x:v>
      </x:c>
      <x:c r="K319" s="21" t="n">
        <x:v>137</x:v>
      </x:c>
      <x:c r="L319" s="21" t="str">
        <x:v>original精确文本</x:v>
      </x:c>
    </x:row>
    <x:row r="320">
      <x:c r="A320" s="38" t="n">
        <x:v>48</x:v>
      </x:c>
      <x:c r="B320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20" s="23" t="str">
        <x:v>对比CBN-福州仓山-福厦高铁鸡笼山隧道C-HRRH-513、CBN-福州仓山-火车南站东南美化塔C-HRHH-518和CBN-福州仓山-永南路与站后路交叉口C-HRHH-516这三个小区的基站标识、移动网号和天线高度</x:v>
      </x:c>
      <x:c r="D320" s="23" t="str">
        <x:v>AICO Tool Call - Workflow</x:v>
      </x:c>
      <x:c r="E320" s="23" t="str">
        <x:v>Workflow</x:v>
      </x:c>
      <x:c r="F320" s="21" t="n">
        <x:v>1</x:v>
      </x:c>
      <x:c r="G320" s="21" t="str">
        <x:v>2026-08-14T07:40:25.785</x:v>
      </x:c>
      <x:c r="H320" s="36" t="n">
        <x:v>2799.735</x:v>
      </x:c>
      <x:c r="I320" s="36" t="n">
        <x:f>H320/1000</x:f>
        <x:v>2.799735</x:v>
      </x:c>
      <x:c r="J320" s="21" t="str">
        <x:v>dsv_modify_0814/dsv4_3_aico.jsonl</x:v>
      </x:c>
      <x:c r="K320" s="21" t="n">
        <x:v>138</x:v>
      </x:c>
      <x:c r="L320" s="21" t="str">
        <x:v>original精确文本</x:v>
      </x:c>
    </x:row>
    <x:row r="321">
      <x:c r="A321" s="38" t="n">
        <x:v>48</x:v>
      </x:c>
      <x:c r="B321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21" s="23" t="str">
        <x:v>对比CBN-福州仓山-福厦高铁鸡笼山隧道C-HRRH-513、CBN-福州仓山-火车南站东南美化塔C-HRHH-518和CBN-福州仓山-永南路与站后路交叉口C-HRHH-516这三个小区的基站标识、移动网号和天线高度</x:v>
      </x:c>
      <x:c r="D321" s="23" t="str">
        <x:v>Recipe - DeepSeek</x:v>
      </x:c>
      <x:c r="E321" s="23" t="str">
        <x:v>DeepSeek recipe调用</x:v>
      </x:c>
      <x:c r="F321" s="21" t="n">
        <x:v>1</x:v>
      </x:c>
      <x:c r="G321" s="21" t="str">
        <x:v>2026-08-14T07:40:30.020</x:v>
      </x:c>
      <x:c r="H321" s="36" t="n">
        <x:v>2387.369</x:v>
      </x:c>
      <x:c r="I321" s="36" t="n">
        <x:f>H321/1000</x:f>
        <x:v>2.387369</x:v>
      </x:c>
      <x:c r="J321" s="21" t="str">
        <x:v>dsv_modify_0814/dsv4_3_recipe_ds.jsonl</x:v>
      </x:c>
      <x:c r="K321" s="21" t="n">
        <x:v>91</x:v>
      </x:c>
      <x:c r="L321" s="21" t="str">
        <x:v>processed精确文本</x:v>
      </x:c>
    </x:row>
    <x:row r="322">
      <x:c r="A322" s="38" t="n">
        <x:v>48</x:v>
      </x:c>
      <x:c r="B322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22" s="23" t="str">
        <x:v>对比CBN-福州仓山-福厦高铁鸡笼山隧道C-HRRH-513、CBN-福州仓山-火车南站东南美化塔C-HRHH-518和CBN-福州仓山-永南路与站后路交叉口C-HRHH-516这三个小区的基站标识、移动网号和天线高度</x:v>
      </x:c>
      <x:c r="D322" s="23" t="str">
        <x:v>Recipe - Qwen执行</x:v>
      </x:c>
      <x:c r="E322" s="23" t="str">
        <x:v>同一问题第1次Qwen调用</x:v>
      </x:c>
      <x:c r="F322" s="21" t="n">
        <x:v>1</x:v>
      </x:c>
      <x:c r="G322" s="21" t="str">
        <x:v>2026-08-14T07:40:32.743</x:v>
      </x:c>
      <x:c r="H322" s="36" t="n">
        <x:v>1940.991</x:v>
      </x:c>
      <x:c r="I322" s="36" t="n">
        <x:f>H322/1000</x:f>
        <x:v>1.940991</x:v>
      </x:c>
      <x:c r="J322" s="21" t="str">
        <x:v>dsv_modify_0814/qwen_3.jsonl</x:v>
      </x:c>
      <x:c r="K322" s="21" t="n">
        <x:v>92</x:v>
      </x:c>
      <x:c r="L322" s="21" t="str">
        <x:v>processed精确文本</x:v>
      </x:c>
    </x:row>
    <x:row r="323">
      <x:c r="A323" s="38" t="n">
        <x:v>48</x:v>
      </x:c>
      <x:c r="B323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23" s="23" t="str">
        <x:v>对比CBN-福州仓山-福厦高铁鸡笼山隧道C-HRRH-513、CBN-福州仓山-火车南站东南美化塔C-HRHH-518和CBN-福州仓山-永南路与站后路交叉口C-HRHH-516这三个小区的基站标识、移动网号和天线高度</x:v>
      </x:c>
      <x:c r="D323" s="23" t="str">
        <x:v>Recipe - Qwen总结</x:v>
      </x:c>
      <x:c r="E323" s="23" t="str">
        <x:v>同一问题最后一次Qwen调用</x:v>
      </x:c>
      <x:c r="F323" s="21" t="n">
        <x:v>1</x:v>
      </x:c>
      <x:c r="G323" s="21" t="str">
        <x:v>2026-08-14T07:40:35.170</x:v>
      </x:c>
      <x:c r="H323" s="36" t="n">
        <x:v>2451.522</x:v>
      </x:c>
      <x:c r="I323" s="36" t="n">
        <x:f>H323/1000</x:f>
        <x:v>2.4515219999999998</x:v>
      </x:c>
      <x:c r="J323" s="21" t="str">
        <x:v>dsv_modify_0814/qwen_3.jsonl</x:v>
      </x:c>
      <x:c r="K323" s="21" t="n">
        <x:v>93</x:v>
      </x:c>
      <x:c r="L323" s="21" t="str">
        <x:v>processed精确文本</x:v>
      </x:c>
    </x:row>
    <x:row r="324">
      <x:c r="A324" s="38" t="n">
        <x:v>48</x:v>
      </x:c>
      <x:c r="B324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24" s="23" t="str">
        <x:v>对比CBN-福州仓山-福厦高铁鸡笼山隧道C-HRRH-513、CBN-福州仓山-火车南站东南美化塔C-HRHH-518和CBN-福州仓山-永南路与站后路交叉口C-HRHH-516这三个小区的基站标识、移动网号和天线高度</x:v>
      </x:c>
      <x:c r="D324" s="23" t="str">
        <x:v>AICO Tool Call - Skill</x:v>
      </x:c>
      <x:c r="E324" s="23" t="str">
        <x:v>Skill</x:v>
      </x:c>
      <x:c r="F324" s="21" t="n">
        <x:v>2</x:v>
      </x:c>
      <x:c r="G324" s="21" t="str">
        <x:v>2026-08-14T07:40:37.874</x:v>
      </x:c>
      <x:c r="H324" s="36" t="n">
        <x:v>3117.846</x:v>
      </x:c>
      <x:c r="I324" s="36" t="n">
        <x:f>H324/1000</x:f>
        <x:v>3.117846</x:v>
      </x:c>
      <x:c r="J324" s="21" t="str">
        <x:v>dsv_modify_0814/dsv4_3_aico.jsonl</x:v>
      </x:c>
      <x:c r="K324" s="21" t="n">
        <x:v>139</x:v>
      </x:c>
      <x:c r="L324" s="21" t="str">
        <x:v>original精确文本</x:v>
      </x:c>
    </x:row>
    <x:row r="325">
      <x:c r="A325" s="38" t="n">
        <x:v>48</x:v>
      </x:c>
      <x:c r="B325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25" s="23" t="str">
        <x:v>对比CBN-福州仓山-福厦高铁鸡笼山隧道C-HRRH-513、CBN-福州仓山-火车南站东南美化塔C-HRHH-518和CBN-福州仓山-永南路与站后路交叉口C-HRHH-516这三个小区的基站标识、移动网号和天线高度</x:v>
      </x:c>
      <x:c r="D325" s="23" t="str">
        <x:v>AICO总结</x:v>
      </x:c>
      <x:c r="E325" s="23" t="str">
        <x:v>无tool_calls</x:v>
      </x:c>
      <x:c r="F325" s="21" t="n">
        <x:v>1</x:v>
      </x:c>
      <x:c r="G325" s="21" t="str">
        <x:v>2026-08-14T07:40:41.146</x:v>
      </x:c>
      <x:c r="H325" s="36" t="n">
        <x:v>4566.948</x:v>
      </x:c>
      <x:c r="I325" s="36" t="n">
        <x:f>H325/1000</x:f>
        <x:v>4.566948</x:v>
      </x:c>
      <x:c r="J325" s="21" t="str">
        <x:v>dsv_modify_0814/dsv4_3_aico.jsonl</x:v>
      </x:c>
      <x:c r="K325" s="21" t="n">
        <x:v>140</x:v>
      </x:c>
      <x:c r="L325" s="21" t="str">
        <x:v>original精确文本</x:v>
      </x:c>
    </x:row>
    <x:row r="326">
      <x:c r="A326" s="38" t="n">
        <x:v>48</x:v>
      </x:c>
      <x:c r="B326" s="23" t="str">
        <x:v>对比一下CBN-福州仓山-福厦高铁鸡笼山隧道C-HRRH-513、CBN-福州仓山-火车南站东南美化塔C-HRHH-518和CBN-福州仓山-永南路与站后路交叉口C-HRHH-516这三个小区的基站标识、移动网号和天线高度。</x:v>
      </x:c>
      <x:c r="C326" s="23" t="str">
        <x:v>对比CBN-福州仓山-福厦高铁鸡笼山隧道C-HRRH-513、CBN-福州仓山-火车南站东南美化塔C-HRHH-518和CBN-福州仓山-永南路与站后路交叉口C-HRHH-516这三个小区的基站标识、移动网号和天线高度</x:v>
      </x:c>
      <x:c r="D326" s="23" t="str">
        <x:v>问题推荐</x:v>
      </x:c>
      <x:c r="E326" s="23" t="str">
        <x:v>后续问题推荐</x:v>
      </x:c>
      <x:c r="F326" s="21" t="n">
        <x:v>1</x:v>
      </x:c>
      <x:c r="G326" s="21" t="str">
        <x:v>2026-08-14T07:40:46.002</x:v>
      </x:c>
      <x:c r="H326" s="36" t="n">
        <x:v>2980.834</x:v>
      </x:c>
      <x:c r="I326" s="36" t="n">
        <x:f>H326/1000</x:f>
        <x:v>2.9808339999999998</x:v>
      </x:c>
      <x:c r="J326" s="21" t="str">
        <x:v>dsv_modify_0814/dsv4_3_recipe_ds.jsonl</x:v>
      </x:c>
      <x:c r="K326" s="21" t="n">
        <x:v>92</x:v>
      </x:c>
      <x:c r="L326" s="21" t="str">
        <x:v>original精确文本</x:v>
      </x:c>
    </x:row>
    <x:row r="327">
      <x:c r="A327" s="38" t="n">
        <x:v>49</x:v>
      </x:c>
      <x:c r="B327" s="23" t="str">
        <x:v>找出深圳东海岸三D-HRH-1和深圳奥特莱斯D-HRH-3小区的经度和站点名称。</x:v>
      </x:c>
      <x:c r="C327" s="23" t="str">
        <x:v>找出深圳东海岸三D-HRH-1和深圳奥特莱斯D-HRH-3小区的经度和站点名称</x:v>
      </x:c>
      <x:c r="D327" s="23" t="str">
        <x:v>AICO Tool Call - Skill</x:v>
      </x:c>
      <x:c r="E327" s="23" t="str">
        <x:v>Skill</x:v>
      </x:c>
      <x:c r="F327" s="21" t="n">
        <x:v>1</x:v>
      </x:c>
      <x:c r="G327" s="21" t="str">
        <x:v>2026-08-14T07:40:46.858</x:v>
      </x:c>
      <x:c r="H327" s="36" t="n">
        <x:v>3028.11</x:v>
      </x:c>
      <x:c r="I327" s="36" t="n">
        <x:f>H327/1000</x:f>
        <x:v>3.0281100000000003</x:v>
      </x:c>
      <x:c r="J327" s="21" t="str">
        <x:v>dsv_modify_0814/dsv4_3_aico.jsonl</x:v>
      </x:c>
      <x:c r="K327" s="21" t="n">
        <x:v>141</x:v>
      </x:c>
      <x:c r="L327" s="21" t="str">
        <x:v>original精确文本</x:v>
      </x:c>
    </x:row>
    <x:row r="328">
      <x:c r="A328" s="38" t="n">
        <x:v>49</x:v>
      </x:c>
      <x:c r="B328" s="23" t="str">
        <x:v>找出深圳东海岸三D-HRH-1和深圳奥特莱斯D-HRH-3小区的经度和站点名称。</x:v>
      </x:c>
      <x:c r="C328" s="23" t="str">
        <x:v>找出深圳东海岸三D-HRH-1和深圳奥特莱斯D-HRH-3小区的经度和站点名称</x:v>
      </x:c>
      <x:c r="D328" s="23" t="str">
        <x:v>AICO Tool Call - Workflow</x:v>
      </x:c>
      <x:c r="E328" s="23" t="str">
        <x:v>Workflow</x:v>
      </x:c>
      <x:c r="F328" s="21" t="n">
        <x:v>1</x:v>
      </x:c>
      <x:c r="G328" s="21" t="str">
        <x:v>2026-08-14T07:40:50.040</x:v>
      </x:c>
      <x:c r="H328" s="36" t="n">
        <x:v>2355.505</x:v>
      </x:c>
      <x:c r="I328" s="36" t="n">
        <x:f>H328/1000</x:f>
        <x:v>2.355505</x:v>
      </x:c>
      <x:c r="J328" s="21" t="str">
        <x:v>dsv_modify_0814/dsv4_3_aico.jsonl</x:v>
      </x:c>
      <x:c r="K328" s="21" t="n">
        <x:v>142</x:v>
      </x:c>
      <x:c r="L328" s="21" t="str">
        <x:v>original精确文本</x:v>
      </x:c>
    </x:row>
    <x:row r="329">
      <x:c r="A329" s="38" t="n">
        <x:v>49</x:v>
      </x:c>
      <x:c r="B329" s="23" t="str">
        <x:v>找出深圳东海岸三D-HRH-1和深圳奥特莱斯D-HRH-3小区的经度和站点名称。</x:v>
      </x:c>
      <x:c r="C329" s="23" t="str">
        <x:v>找出深圳东海岸三D-HRH-1和深圳奥特莱斯D-HRH-3小区的经度和站点名称</x:v>
      </x:c>
      <x:c r="D329" s="23" t="str">
        <x:v>Recipe - DeepSeek</x:v>
      </x:c>
      <x:c r="E329" s="23" t="str">
        <x:v>DeepSeek recipe调用</x:v>
      </x:c>
      <x:c r="F329" s="21" t="n">
        <x:v>1</x:v>
      </x:c>
      <x:c r="G329" s="21" t="str">
        <x:v>2026-08-14T07:40:53.791</x:v>
      </x:c>
      <x:c r="H329" s="36" t="n">
        <x:v>1718.053</x:v>
      </x:c>
      <x:c r="I329" s="36" t="n">
        <x:f>H329/1000</x:f>
        <x:v>1.718053</x:v>
      </x:c>
      <x:c r="J329" s="21" t="str">
        <x:v>dsv_modify_0814/dsv4_3_recipe_ds.jsonl</x:v>
      </x:c>
      <x:c r="K329" s="21" t="n">
        <x:v>93</x:v>
      </x:c>
      <x:c r="L329" s="21" t="str">
        <x:v>processed精确文本</x:v>
      </x:c>
    </x:row>
    <x:row r="330">
      <x:c r="A330" s="38" t="n">
        <x:v>49</x:v>
      </x:c>
      <x:c r="B330" s="23" t="str">
        <x:v>找出深圳东海岸三D-HRH-1和深圳奥特莱斯D-HRH-3小区的经度和站点名称。</x:v>
      </x:c>
      <x:c r="C330" s="23" t="str">
        <x:v>找出深圳东海岸三D-HRH-1和深圳奥特莱斯D-HRH-3小区的经度和站点名称</x:v>
      </x:c>
      <x:c r="D330" s="23" t="str">
        <x:v>Recipe - Qwen执行</x:v>
      </x:c>
      <x:c r="E330" s="23" t="str">
        <x:v>同一问题第1次Qwen调用</x:v>
      </x:c>
      <x:c r="F330" s="21" t="n">
        <x:v>1</x:v>
      </x:c>
      <x:c r="G330" s="21" t="str">
        <x:v>2026-08-14T07:40:55.843</x:v>
      </x:c>
      <x:c r="H330" s="36" t="n">
        <x:v>1587.672</x:v>
      </x:c>
      <x:c r="I330" s="36" t="n">
        <x:f>H330/1000</x:f>
        <x:v>1.587672</x:v>
      </x:c>
      <x:c r="J330" s="21" t="str">
        <x:v>dsv_modify_0814/qwen_3.jsonl</x:v>
      </x:c>
      <x:c r="K330" s="21" t="n">
        <x:v>94</x:v>
      </x:c>
      <x:c r="L330" s="21" t="str">
        <x:v>processed精确文本</x:v>
      </x:c>
    </x:row>
    <x:row r="331">
      <x:c r="A331" s="38" t="n">
        <x:v>49</x:v>
      </x:c>
      <x:c r="B331" s="23" t="str">
        <x:v>找出深圳东海岸三D-HRH-1和深圳奥特莱斯D-HRH-3小区的经度和站点名称。</x:v>
      </x:c>
      <x:c r="C331" s="23" t="str">
        <x:v>找出深圳东海岸三D-HRH-1和深圳奥特莱斯D-HRH-3小区的经度和站点名称</x:v>
      </x:c>
      <x:c r="D331" s="23" t="str">
        <x:v>Recipe - Qwen总结</x:v>
      </x:c>
      <x:c r="E331" s="23" t="str">
        <x:v>同一问题最后一次Qwen调用</x:v>
      </x:c>
      <x:c r="F331" s="21" t="n">
        <x:v>1</x:v>
      </x:c>
      <x:c r="G331" s="21" t="str">
        <x:v>2026-08-14T07:40:57.943</x:v>
      </x:c>
      <x:c r="H331" s="36" t="n">
        <x:v>1571.126</x:v>
      </x:c>
      <x:c r="I331" s="36" t="n">
        <x:f>H331/1000</x:f>
        <x:v>1.571126</x:v>
      </x:c>
      <x:c r="J331" s="21" t="str">
        <x:v>dsv_modify_0814/qwen_3.jsonl</x:v>
      </x:c>
      <x:c r="K331" s="21" t="n">
        <x:v>95</x:v>
      </x:c>
      <x:c r="L331" s="21" t="str">
        <x:v>processed精确文本</x:v>
      </x:c>
    </x:row>
    <x:row r="332">
      <x:c r="A332" s="38" t="n">
        <x:v>49</x:v>
      </x:c>
      <x:c r="B332" s="23" t="str">
        <x:v>找出深圳东海岸三D-HRH-1和深圳奥特莱斯D-HRH-3小区的经度和站点名称。</x:v>
      </x:c>
      <x:c r="C332" s="23" t="str">
        <x:v>找出深圳东海岸三D-HRH-1和深圳奥特莱斯D-HRH-3小区的经度和站点名称</x:v>
      </x:c>
      <x:c r="D332" s="23" t="str">
        <x:v>AICO总结</x:v>
      </x:c>
      <x:c r="E332" s="23" t="str">
        <x:v>无tool_calls</x:v>
      </x:c>
      <x:c r="F332" s="21" t="n">
        <x:v>1</x:v>
      </x:c>
      <x:c r="G332" s="21" t="str">
        <x:v>2026-08-14T07:40:59.776</x:v>
      </x:c>
      <x:c r="H332" s="36" t="n">
        <x:v>2646.097</x:v>
      </x:c>
      <x:c r="I332" s="36" t="n">
        <x:f>H332/1000</x:f>
        <x:v>2.646097</x:v>
      </x:c>
      <x:c r="J332" s="21" t="str">
        <x:v>dsv_modify_0814/dsv4_3_aico.jsonl</x:v>
      </x:c>
      <x:c r="K332" s="21" t="n">
        <x:v>143</x:v>
      </x:c>
      <x:c r="L332" s="21" t="str">
        <x:v>original精确文本</x:v>
      </x:c>
    </x:row>
    <x:row r="333">
      <x:c r="A333" s="38" t="n">
        <x:v>49</x:v>
      </x:c>
      <x:c r="B333" s="23" t="str">
        <x:v>找出深圳东海岸三D-HRH-1和深圳奥特莱斯D-HRH-3小区的经度和站点名称。</x:v>
      </x:c>
      <x:c r="C333" s="23" t="str">
        <x:v>找出深圳东海岸三D-HRH-1和深圳奥特莱斯D-HRH-3小区的经度和站点名称</x:v>
      </x:c>
      <x:c r="D333" s="23" t="str">
        <x:v>问题推荐</x:v>
      </x:c>
      <x:c r="E333" s="23" t="str">
        <x:v>后续问题推荐</x:v>
      </x:c>
      <x:c r="F333" s="21" t="n">
        <x:v>1</x:v>
      </x:c>
      <x:c r="G333" s="21" t="str">
        <x:v>2026-08-14T07:41:02.708</x:v>
      </x:c>
      <x:c r="H333" s="36" t="n">
        <x:v>2806.981</x:v>
      </x:c>
      <x:c r="I333" s="36" t="n">
        <x:f>H333/1000</x:f>
        <x:v>2.8069810000000004</x:v>
      </x:c>
      <x:c r="J333" s="21" t="str">
        <x:v>dsv_modify_0814/dsv4_3_recipe_ds.jsonl</x:v>
      </x:c>
      <x:c r="K333" s="21" t="n">
        <x:v>94</x:v>
      </x:c>
      <x:c r="L333" s="21" t="str">
        <x:v>original精确文本</x:v>
      </x:c>
    </x:row>
    <x:row r="334">
      <x:c r="A334" s="38" t="n">
        <x:v>50</x:v>
      </x:c>
      <x:c r="B334" s="23" t="str">
        <x:v>确认一下CBN-福州马尾-高铁鼓山1号隧道出口（左侧）C-HRRH和CBN-深圳东华风车U-H5H这两个站点下小区的方位角、电子下倾角和机械下倾角。</x:v>
      </x:c>
      <x:c r="C334" s="23" t="str">
        <x:v>查询CBN-福州马尾-高铁鼓山1号隧道出口（左侧）C-HRRH和CBN-深圳东华风车U-H5H这两个站点下小区的方位角、电子下倾角和机械下倾角</x:v>
      </x:c>
      <x:c r="D334" s="23" t="str">
        <x:v>AICO Tool Call - Skill</x:v>
      </x:c>
      <x:c r="E334" s="23" t="str">
        <x:v>Skill</x:v>
      </x:c>
      <x:c r="F334" s="21" t="n">
        <x:v>1</x:v>
      </x:c>
      <x:c r="G334" s="21" t="str">
        <x:v>2026-08-14T07:41:03.580</x:v>
      </x:c>
      <x:c r="H334" s="36" t="n">
        <x:v>2676.192</x:v>
      </x:c>
      <x:c r="I334" s="36" t="n">
        <x:f>H334/1000</x:f>
        <x:v>2.676192</x:v>
      </x:c>
      <x:c r="J334" s="21" t="str">
        <x:v>dsv_modify_0814/dsv4_3_aico.jsonl</x:v>
      </x:c>
      <x:c r="K334" s="21" t="n">
        <x:v>144</x:v>
      </x:c>
      <x:c r="L334" s="21" t="str">
        <x:v>original精确文本</x:v>
      </x:c>
    </x:row>
    <x:row r="335">
      <x:c r="A335" s="38" t="n">
        <x:v>50</x:v>
      </x:c>
      <x:c r="B335" s="23" t="str">
        <x:v>确认一下CBN-福州马尾-高铁鼓山1号隧道出口（左侧）C-HRRH和CBN-深圳东华风车U-H5H这两个站点下小区的方位角、电子下倾角和机械下倾角。</x:v>
      </x:c>
      <x:c r="C335" s="23" t="str">
        <x:v>查询CBN-福州马尾-高铁鼓山1号隧道出口（左侧）C-HRRH和CBN-深圳东华风车U-H5H这两个站点下小区的方位角、电子下倾角和机械下倾角</x:v>
      </x:c>
      <x:c r="D335" s="23" t="str">
        <x:v>AICO Tool Call - Workflow</x:v>
      </x:c>
      <x:c r="E335" s="23" t="str">
        <x:v>Workflow</x:v>
      </x:c>
      <x:c r="F335" s="21" t="n">
        <x:v>1</x:v>
      </x:c>
      <x:c r="G335" s="21" t="str">
        <x:v>2026-08-14T07:41:06.408</x:v>
      </x:c>
      <x:c r="H335" s="36" t="n">
        <x:v>2653.978</x:v>
      </x:c>
      <x:c r="I335" s="36" t="n">
        <x:f>H335/1000</x:f>
        <x:v>2.653978</x:v>
      </x:c>
      <x:c r="J335" s="21" t="str">
        <x:v>dsv_modify_0814/dsv4_3_aico.jsonl</x:v>
      </x:c>
      <x:c r="K335" s="21" t="n">
        <x:v>145</x:v>
      </x:c>
      <x:c r="L335" s="21" t="str">
        <x:v>original精确文本</x:v>
      </x:c>
    </x:row>
    <x:row r="336">
      <x:c r="A336" s="38" t="n">
        <x:v>50</x:v>
      </x:c>
      <x:c r="B336" s="23" t="str">
        <x:v>确认一下CBN-福州马尾-高铁鼓山1号隧道出口（左侧）C-HRRH和CBN-深圳东华风车U-H5H这两个站点下小区的方位角、电子下倾角和机械下倾角。</x:v>
      </x:c>
      <x:c r="C336" s="23" t="str">
        <x:v>查询CBN-福州马尾-高铁鼓山1号隧道出口（左侧）C-HRRH和CBN-深圳东华风车U-H5H这两个站点下小区的方位角、电子下倾角和机械下倾角</x:v>
      </x:c>
      <x:c r="D336" s="23" t="str">
        <x:v>Recipe - DeepSeek</x:v>
      </x:c>
      <x:c r="E336" s="23" t="str">
        <x:v>DeepSeek recipe调用</x:v>
      </x:c>
      <x:c r="F336" s="21" t="n">
        <x:v>1</x:v>
      </x:c>
      <x:c r="G336" s="21" t="str">
        <x:v>2026-08-14T07:41:10.233</x:v>
      </x:c>
      <x:c r="H336" s="36" t="n">
        <x:v>2063.739</x:v>
      </x:c>
      <x:c r="I336" s="36" t="n">
        <x:f>H336/1000</x:f>
        <x:v>2.063739</x:v>
      </x:c>
      <x:c r="J336" s="21" t="str">
        <x:v>dsv_modify_0814/dsv4_3_recipe_ds.jsonl</x:v>
      </x:c>
      <x:c r="K336" s="21" t="n">
        <x:v>95</x:v>
      </x:c>
      <x:c r="L336" s="21" t="str">
        <x:v>processed精确文本</x:v>
      </x:c>
    </x:row>
    <x:row r="337">
      <x:c r="A337" s="38" t="n">
        <x:v>50</x:v>
      </x:c>
      <x:c r="B337" s="23" t="str">
        <x:v>确认一下CBN-福州马尾-高铁鼓山1号隧道出口（左侧）C-HRRH和CBN-深圳东华风车U-H5H这两个站点下小区的方位角、电子下倾角和机械下倾角。</x:v>
      </x:c>
      <x:c r="C337" s="23" t="str">
        <x:v>查询CBN-福州马尾-高铁鼓山1号隧道出口（左侧）C-HRRH和CBN-深圳东华风车U-H5H这两个站点下小区的方位角、电子下倾角和机械下倾角</x:v>
      </x:c>
      <x:c r="D337" s="23" t="str">
        <x:v>Recipe - Qwen执行</x:v>
      </x:c>
      <x:c r="E337" s="23" t="str">
        <x:v>同一问题第1次Qwen调用</x:v>
      </x:c>
      <x:c r="F337" s="21" t="n">
        <x:v>1</x:v>
      </x:c>
      <x:c r="G337" s="21" t="str">
        <x:v>2026-08-14T07:41:12.630</x:v>
      </x:c>
      <x:c r="H337" s="36" t="n">
        <x:v>1739.347</x:v>
      </x:c>
      <x:c r="I337" s="36" t="n">
        <x:f>H337/1000</x:f>
        <x:v>1.739347</x:v>
      </x:c>
      <x:c r="J337" s="21" t="str">
        <x:v>dsv_modify_0814/qwen_3.jsonl</x:v>
      </x:c>
      <x:c r="K337" s="21" t="n">
        <x:v>96</x:v>
      </x:c>
      <x:c r="L337" s="21" t="str">
        <x:v>processed精确文本</x:v>
      </x:c>
    </x:row>
    <x:row r="338">
      <x:c r="A338" s="38" t="n">
        <x:v>50</x:v>
      </x:c>
      <x:c r="B338" s="23" t="str">
        <x:v>确认一下CBN-福州马尾-高铁鼓山1号隧道出口（左侧）C-HRRH和CBN-深圳东华风车U-H5H这两个站点下小区的方位角、电子下倾角和机械下倾角。</x:v>
      </x:c>
      <x:c r="C338" s="23" t="str">
        <x:v>查询CBN-福州马尾-高铁鼓山1号隧道出口（左侧）C-HRRH和CBN-深圳东华风车U-H5H这两个站点下小区的方位角、电子下倾角和机械下倾角</x:v>
      </x:c>
      <x:c r="D338" s="23" t="str">
        <x:v>Recipe - Qwen总结</x:v>
      </x:c>
      <x:c r="E338" s="23" t="str">
        <x:v>同一问题最后一次Qwen调用</x:v>
      </x:c>
      <x:c r="F338" s="21" t="n">
        <x:v>1</x:v>
      </x:c>
      <x:c r="G338" s="21" t="str">
        <x:v>2026-08-14T07:41:14.871</x:v>
      </x:c>
      <x:c r="H338" s="36" t="n">
        <x:v>2501.888</x:v>
      </x:c>
      <x:c r="I338" s="36" t="n">
        <x:f>H338/1000</x:f>
        <x:v>2.501888</x:v>
      </x:c>
      <x:c r="J338" s="21" t="str">
        <x:v>dsv_modify_0814/qwen_3.jsonl</x:v>
      </x:c>
      <x:c r="K338" s="21" t="n">
        <x:v>97</x:v>
      </x:c>
      <x:c r="L338" s="21" t="str">
        <x:v>processed精确文本</x:v>
      </x:c>
    </x:row>
    <x:row r="339">
      <x:c r="A339" s="38" t="n">
        <x:v>50</x:v>
      </x:c>
      <x:c r="B339" s="23" t="str">
        <x:v>确认一下CBN-福州马尾-高铁鼓山1号隧道出口（左侧）C-HRRH和CBN-深圳东华风车U-H5H这两个站点下小区的方位角、电子下倾角和机械下倾角。</x:v>
      </x:c>
      <x:c r="C339" s="23" t="str">
        <x:v>查询CBN-福州马尾-高铁鼓山1号隧道出口（左侧）C-HRRH和CBN-深圳东华风车U-H5H这两个站点下小区的方位角、电子下倾角和机械下倾角</x:v>
      </x:c>
      <x:c r="D339" s="23" t="str">
        <x:v>AICO总结</x:v>
      </x:c>
      <x:c r="E339" s="23" t="str">
        <x:v>无tool_calls</x:v>
      </x:c>
      <x:c r="F339" s="21" t="n">
        <x:v>1</x:v>
      </x:c>
      <x:c r="G339" s="21" t="str">
        <x:v>2026-08-14T07:41:17.656</x:v>
      </x:c>
      <x:c r="H339" s="36" t="n">
        <x:v>3885.217</x:v>
      </x:c>
      <x:c r="I339" s="36" t="n">
        <x:f>H339/1000</x:f>
        <x:v>3.885217</x:v>
      </x:c>
      <x:c r="J339" s="21" t="str">
        <x:v>dsv_modify_0814/dsv4_3_aico.jsonl</x:v>
      </x:c>
      <x:c r="K339" s="21" t="n">
        <x:v>146</x:v>
      </x:c>
      <x:c r="L339" s="21" t="str">
        <x:v>original精确文本</x:v>
      </x:c>
    </x:row>
    <x:row r="340">
      <x:c r="A340" s="38" t="n">
        <x:v>50</x:v>
      </x:c>
      <x:c r="B340" s="23" t="str">
        <x:v>确认一下CBN-福州马尾-高铁鼓山1号隧道出口（左侧）C-HRRH和CBN-深圳东华风车U-H5H这两个站点下小区的方位角、电子下倾角和机械下倾角。</x:v>
      </x:c>
      <x:c r="C340" s="23" t="str">
        <x:v>查询CBN-福州马尾-高铁鼓山1号隧道出口（左侧）C-HRRH和CBN-深圳东华风车U-H5H这两个站点下小区的方位角、电子下倾角和机械下倾角</x:v>
      </x:c>
      <x:c r="D340" s="23" t="str">
        <x:v>问题推荐</x:v>
      </x:c>
      <x:c r="E340" s="23" t="str">
        <x:v>后续问题推荐</x:v>
      </x:c>
      <x:c r="F340" s="21" t="n">
        <x:v>1</x:v>
      </x:c>
      <x:c r="G340" s="21" t="str">
        <x:v>2026-08-14T07:41:21.956</x:v>
      </x:c>
      <x:c r="H340" s="36" t="n">
        <x:v>4604.005</x:v>
      </x:c>
      <x:c r="I340" s="36" t="n">
        <x:f>H340/1000</x:f>
        <x:v>4.604005</x:v>
      </x:c>
      <x:c r="J340" s="21" t="str">
        <x:v>dsv_modify_0814/dsv4_3_recipe_ds.jsonl</x:v>
      </x:c>
      <x:c r="K340" s="21" t="n">
        <x:v>96</x:v>
      </x:c>
      <x:c r="L340" s="21" t="str">
        <x:v>original精确文本</x:v>
      </x:c>
    </x:row>
    <x:row r="341">
      <x:c r="A341" s="38" t="n">
        <x:v>51</x:v>
      </x:c>
      <x:c r="B341" s="23" t="str">
        <x:v>帮我查一下深圳大梅沙D-HRH站点下5G小区的方位角和电子下倾角。</x:v>
      </x:c>
      <x:c r="C341" s="23" t="str">
        <x:v>查询深圳大梅沙D-HRH站点下5G小区的方位角和电子下倾角</x:v>
      </x:c>
      <x:c r="D341" s="23" t="str">
        <x:v>AICO Tool Call - Skill</x:v>
      </x:c>
      <x:c r="E341" s="23" t="str">
        <x:v>Skill</x:v>
      </x:c>
      <x:c r="F341" s="21" t="n">
        <x:v>1</x:v>
      </x:c>
      <x:c r="G341" s="21" t="str">
        <x:v>2026-08-14T07:41:22.760</x:v>
      </x:c>
      <x:c r="H341" s="36" t="n">
        <x:v>2419.502</x:v>
      </x:c>
      <x:c r="I341" s="36" t="n">
        <x:f>H341/1000</x:f>
        <x:v>2.419502</x:v>
      </x:c>
      <x:c r="J341" s="21" t="str">
        <x:v>dsv_modify_0814/dsv4_3_aico.jsonl</x:v>
      </x:c>
      <x:c r="K341" s="21" t="n">
        <x:v>147</x:v>
      </x:c>
      <x:c r="L341" s="21" t="str">
        <x:v>original精确文本</x:v>
      </x:c>
    </x:row>
    <x:row r="342">
      <x:c r="A342" s="38" t="n">
        <x:v>51</x:v>
      </x:c>
      <x:c r="B342" s="23" t="str">
        <x:v>帮我查一下深圳大梅沙D-HRH站点下5G小区的方位角和电子下倾角。</x:v>
      </x:c>
      <x:c r="C342" s="23" t="str">
        <x:v>查询深圳大梅沙D-HRH站点下5G小区的方位角和电子下倾角</x:v>
      </x:c>
      <x:c r="D342" s="23" t="str">
        <x:v>AICO Tool Call - Workflow</x:v>
      </x:c>
      <x:c r="E342" s="23" t="str">
        <x:v>Workflow</x:v>
      </x:c>
      <x:c r="F342" s="21" t="n">
        <x:v>1</x:v>
      </x:c>
      <x:c r="G342" s="21" t="str">
        <x:v>2026-08-14T07:41:25.345</x:v>
      </x:c>
      <x:c r="H342" s="36" t="n">
        <x:v>2465.7</x:v>
      </x:c>
      <x:c r="I342" s="36" t="n">
        <x:f>H342/1000</x:f>
        <x:v>2.4657</x:v>
      </x:c>
      <x:c r="J342" s="21" t="str">
        <x:v>dsv_modify_0814/dsv4_3_aico.jsonl</x:v>
      </x:c>
      <x:c r="K342" s="21" t="n">
        <x:v>148</x:v>
      </x:c>
      <x:c r="L342" s="21" t="str">
        <x:v>original精确文本</x:v>
      </x:c>
    </x:row>
    <x:row r="343">
      <x:c r="A343" s="38" t="n">
        <x:v>51</x:v>
      </x:c>
      <x:c r="B343" s="23" t="str">
        <x:v>帮我查一下深圳大梅沙D-HRH站点下5G小区的方位角和电子下倾角。</x:v>
      </x:c>
      <x:c r="C343" s="23" t="str">
        <x:v>查询深圳大梅沙D-HRH站点下5G小区的方位角和电子下倾角</x:v>
      </x:c>
      <x:c r="D343" s="23" t="str">
        <x:v>Recipe - DeepSeek</x:v>
      </x:c>
      <x:c r="E343" s="23" t="str">
        <x:v>DeepSeek recipe调用</x:v>
      </x:c>
      <x:c r="F343" s="21" t="n">
        <x:v>1</x:v>
      </x:c>
      <x:c r="G343" s="21" t="str">
        <x:v>2026-08-14T07:41:29.283</x:v>
      </x:c>
      <x:c r="H343" s="36" t="n">
        <x:v>1520.348</x:v>
      </x:c>
      <x:c r="I343" s="36" t="n">
        <x:f>H343/1000</x:f>
        <x:v>1.520348</x:v>
      </x:c>
      <x:c r="J343" s="21" t="str">
        <x:v>dsv_modify_0814/dsv4_3_recipe_ds.jsonl</x:v>
      </x:c>
      <x:c r="K343" s="21" t="n">
        <x:v>97</x:v>
      </x:c>
      <x:c r="L343" s="21" t="str">
        <x:v>processed精确文本</x:v>
      </x:c>
    </x:row>
    <x:row r="344">
      <x:c r="A344" s="38" t="n">
        <x:v>51</x:v>
      </x:c>
      <x:c r="B344" s="23" t="str">
        <x:v>帮我查一下深圳大梅沙D-HRH站点下5G小区的方位角和电子下倾角。</x:v>
      </x:c>
      <x:c r="C344" s="23" t="str">
        <x:v>查询深圳大梅沙D-HRH站点下5G小区的方位角和电子下倾角</x:v>
      </x:c>
      <x:c r="D344" s="23" t="str">
        <x:v>Recipe - Qwen执行</x:v>
      </x:c>
      <x:c r="E344" s="23" t="str">
        <x:v>同一问题第1次Qwen调用</x:v>
      </x:c>
      <x:c r="F344" s="21" t="n">
        <x:v>1</x:v>
      </x:c>
      <x:c r="G344" s="21" t="str">
        <x:v>2026-08-14T07:41:31.143</x:v>
      </x:c>
      <x:c r="H344" s="36" t="n">
        <x:v>1647.41</x:v>
      </x:c>
      <x:c r="I344" s="36" t="n">
        <x:f>H344/1000</x:f>
        <x:v>1.64741</x:v>
      </x:c>
      <x:c r="J344" s="21" t="str">
        <x:v>dsv_modify_0814/qwen_3.jsonl</x:v>
      </x:c>
      <x:c r="K344" s="21" t="n">
        <x:v>98</x:v>
      </x:c>
      <x:c r="L344" s="21" t="str">
        <x:v>processed精确文本</x:v>
      </x:c>
    </x:row>
    <x:row r="345">
      <x:c r="A345" s="38" t="n">
        <x:v>51</x:v>
      </x:c>
      <x:c r="B345" s="23" t="str">
        <x:v>帮我查一下深圳大梅沙D-HRH站点下5G小区的方位角和电子下倾角。</x:v>
      </x:c>
      <x:c r="C345" s="23" t="str">
        <x:v>查询深圳大梅沙D-HRH站点下5G小区的方位角和电子下倾角</x:v>
      </x:c>
      <x:c r="D345" s="23" t="str">
        <x:v>Recipe - Qwen总结</x:v>
      </x:c>
      <x:c r="E345" s="23" t="str">
        <x:v>同一问题最后一次Qwen调用</x:v>
      </x:c>
      <x:c r="F345" s="21" t="n">
        <x:v>1</x:v>
      </x:c>
      <x:c r="G345" s="21" t="str">
        <x:v>2026-08-14T07:41:33.371</x:v>
      </x:c>
      <x:c r="H345" s="36" t="n">
        <x:v>2539.471</x:v>
      </x:c>
      <x:c r="I345" s="36" t="n">
        <x:f>H345/1000</x:f>
        <x:v>2.539471</x:v>
      </x:c>
      <x:c r="J345" s="21" t="str">
        <x:v>dsv_modify_0814/qwen_3.jsonl</x:v>
      </x:c>
      <x:c r="K345" s="21" t="n">
        <x:v>99</x:v>
      </x:c>
      <x:c r="L345" s="21" t="str">
        <x:v>processed精确文本</x:v>
      </x:c>
    </x:row>
    <x:row r="346">
      <x:c r="A346" s="38" t="n">
        <x:v>51</x:v>
      </x:c>
      <x:c r="B346" s="23" t="str">
        <x:v>帮我查一下深圳大梅沙D-HRH站点下5G小区的方位角和电子下倾角。</x:v>
      </x:c>
      <x:c r="C346" s="23" t="str">
        <x:v>查询深圳大梅沙D-HRH站点下5G小区的方位角和电子下倾角</x:v>
      </x:c>
      <x:c r="D346" s="23" t="str">
        <x:v>AICO总结</x:v>
      </x:c>
      <x:c r="E346" s="23" t="str">
        <x:v>无tool_calls</x:v>
      </x:c>
      <x:c r="F346" s="21" t="n">
        <x:v>1</x:v>
      </x:c>
      <x:c r="G346" s="21" t="str">
        <x:v>2026-08-14T07:41:36.180</x:v>
      </x:c>
      <x:c r="H346" s="36" t="n">
        <x:v>3472.34</x:v>
      </x:c>
      <x:c r="I346" s="36" t="n">
        <x:f>H346/1000</x:f>
        <x:v>3.47234</x:v>
      </x:c>
      <x:c r="J346" s="21" t="str">
        <x:v>dsv_modify_0814/dsv4_3_aico.jsonl</x:v>
      </x:c>
      <x:c r="K346" s="21" t="n">
        <x:v>149</x:v>
      </x:c>
      <x:c r="L346" s="21" t="str">
        <x:v>original精确文本</x:v>
      </x:c>
    </x:row>
    <x:row r="347">
      <x:c r="A347" s="38" t="n">
        <x:v>51</x:v>
      </x:c>
      <x:c r="B347" s="23" t="str">
        <x:v>帮我查一下深圳大梅沙D-HRH站点下5G小区的方位角和电子下倾角。</x:v>
      </x:c>
      <x:c r="C347" s="23" t="str">
        <x:v>查询深圳大梅沙D-HRH站点下5G小区的方位角和电子下倾角</x:v>
      </x:c>
      <x:c r="D347" s="23" t="str">
        <x:v>问题推荐</x:v>
      </x:c>
      <x:c r="E347" s="23" t="str">
        <x:v>后续问题推荐</x:v>
      </x:c>
      <x:c r="F347" s="21" t="n">
        <x:v>1</x:v>
      </x:c>
      <x:c r="G347" s="21" t="str">
        <x:v>2026-08-14T07:41:39.943</x:v>
      </x:c>
      <x:c r="H347" s="36" t="n">
        <x:v>3339.655</x:v>
      </x:c>
      <x:c r="I347" s="36" t="n">
        <x:f>H347/1000</x:f>
        <x:v>3.339655</x:v>
      </x:c>
      <x:c r="J347" s="21" t="str">
        <x:v>dsv_modify_0814/dsv4_3_recipe_ds.jsonl</x:v>
      </x:c>
      <x:c r="K347" s="21" t="n">
        <x:v>98</x:v>
      </x:c>
      <x:c r="L347" s="21" t="str">
        <x:v>original精确文本</x:v>
      </x:c>
    </x:row>
    <x:row r="348">
      <x:c r="A348" s="38" t="n">
        <x:v>52</x:v>
      </x:c>
      <x:c r="B348" s="23" t="str">
        <x:v>看一下CBN-深圳梅沙湾U-H5H-0711这个NR小区的站点名称和纬度。</x:v>
      </x:c>
      <x:c r="C348" s="23" t="str">
        <x:v>查询CBN-深圳梅沙湾U-H5H-0711这个NR小区的站点名称和纬度</x:v>
      </x:c>
      <x:c r="D348" s="23" t="str">
        <x:v>AICO Tool Call - Skill</x:v>
      </x:c>
      <x:c r="E348" s="23" t="str">
        <x:v>Skill</x:v>
      </x:c>
      <x:c r="F348" s="21" t="n">
        <x:v>1</x:v>
      </x:c>
      <x:c r="G348" s="21" t="str">
        <x:v>2026-08-14T07:41:40.826</x:v>
      </x:c>
      <x:c r="H348" s="36" t="n">
        <x:v>2502.077</x:v>
      </x:c>
      <x:c r="I348" s="36" t="n">
        <x:f>H348/1000</x:f>
        <x:v>2.5020770000000003</x:v>
      </x:c>
      <x:c r="J348" s="21" t="str">
        <x:v>dsv_modify_0814/dsv4_3_aico.jsonl</x:v>
      </x:c>
      <x:c r="K348" s="21" t="n">
        <x:v>150</x:v>
      </x:c>
      <x:c r="L348" s="21" t="str">
        <x:v>original精确文本</x:v>
      </x:c>
    </x:row>
    <x:row r="349">
      <x:c r="A349" s="38" t="n">
        <x:v>52</x:v>
      </x:c>
      <x:c r="B349" s="23" t="str">
        <x:v>看一下CBN-深圳梅沙湾U-H5H-0711这个NR小区的站点名称和纬度。</x:v>
      </x:c>
      <x:c r="C349" s="23" t="str">
        <x:v>查询CBN-深圳梅沙湾U-H5H-0711这个NR小区的站点名称和纬度</x:v>
      </x:c>
      <x:c r="D349" s="23" t="str">
        <x:v>AICO Tool Call - Workflow</x:v>
      </x:c>
      <x:c r="E349" s="23" t="str">
        <x:v>Workflow</x:v>
      </x:c>
      <x:c r="F349" s="21" t="n">
        <x:v>1</x:v>
      </x:c>
      <x:c r="G349" s="21" t="str">
        <x:v>2026-08-14T07:41:43.480</x:v>
      </x:c>
      <x:c r="H349" s="36" t="n">
        <x:v>2379.372</x:v>
      </x:c>
      <x:c r="I349" s="36" t="n">
        <x:f>H349/1000</x:f>
        <x:v>2.379372</x:v>
      </x:c>
      <x:c r="J349" s="21" t="str">
        <x:v>dsv_modify_0814/dsv4_3_aico.jsonl</x:v>
      </x:c>
      <x:c r="K349" s="21" t="n">
        <x:v>151</x:v>
      </x:c>
      <x:c r="L349" s="21" t="str">
        <x:v>original精确文本</x:v>
      </x:c>
    </x:row>
    <x:row r="350">
      <x:c r="A350" s="38" t="n">
        <x:v>52</x:v>
      </x:c>
      <x:c r="B350" s="23" t="str">
        <x:v>看一下CBN-深圳梅沙湾U-H5H-0711这个NR小区的站点名称和纬度。</x:v>
      </x:c>
      <x:c r="C350" s="23" t="str">
        <x:v>查询CBN-深圳梅沙湾U-H5H-0711这个NR小区的站点名称和纬度</x:v>
      </x:c>
      <x:c r="D350" s="23" t="str">
        <x:v>Recipe - DeepSeek</x:v>
      </x:c>
      <x:c r="E350" s="23" t="str">
        <x:v>DeepSeek recipe调用</x:v>
      </x:c>
      <x:c r="F350" s="21" t="n">
        <x:v>1</x:v>
      </x:c>
      <x:c r="G350" s="21" t="str">
        <x:v>2026-08-14T07:41:47.319</x:v>
      </x:c>
      <x:c r="H350" s="36" t="n">
        <x:v>1601.115</x:v>
      </x:c>
      <x:c r="I350" s="36" t="n">
        <x:f>H350/1000</x:f>
        <x:v>1.601115</x:v>
      </x:c>
      <x:c r="J350" s="21" t="str">
        <x:v>dsv_modify_0814/dsv4_3_recipe_ds.jsonl</x:v>
      </x:c>
      <x:c r="K350" s="21" t="n">
        <x:v>99</x:v>
      </x:c>
      <x:c r="L350" s="21" t="str">
        <x:v>processed精确文本</x:v>
      </x:c>
    </x:row>
    <x:row r="351">
      <x:c r="A351" s="38" t="n">
        <x:v>52</x:v>
      </x:c>
      <x:c r="B351" s="23" t="str">
        <x:v>看一下CBN-深圳梅沙湾U-H5H-0711这个NR小区的站点名称和纬度。</x:v>
      </x:c>
      <x:c r="C351" s="23" t="str">
        <x:v>查询CBN-深圳梅沙湾U-H5H-0711这个NR小区的站点名称和纬度</x:v>
      </x:c>
      <x:c r="D351" s="23" t="str">
        <x:v>Recipe - Qwen执行</x:v>
      </x:c>
      <x:c r="E351" s="23" t="str">
        <x:v>同一问题第1次Qwen调用</x:v>
      </x:c>
      <x:c r="F351" s="21" t="n">
        <x:v>1</x:v>
      </x:c>
      <x:c r="G351" s="21" t="str">
        <x:v>2026-08-14T07:41:49.240</x:v>
      </x:c>
      <x:c r="H351" s="36" t="n">
        <x:v>1554.203</x:v>
      </x:c>
      <x:c r="I351" s="36" t="n">
        <x:f>H351/1000</x:f>
        <x:v>1.554203</x:v>
      </x:c>
      <x:c r="J351" s="21" t="str">
        <x:v>dsv_modify_0814/qwen_3.jsonl</x:v>
      </x:c>
      <x:c r="K351" s="21" t="n">
        <x:v>100</x:v>
      </x:c>
      <x:c r="L351" s="21" t="str">
        <x:v>processed精确文本</x:v>
      </x:c>
    </x:row>
    <x:row r="352">
      <x:c r="A352" s="38" t="n">
        <x:v>52</x:v>
      </x:c>
      <x:c r="B352" s="23" t="str">
        <x:v>看一下CBN-深圳梅沙湾U-H5H-0711这个NR小区的站点名称和纬度。</x:v>
      </x:c>
      <x:c r="C352" s="23" t="str">
        <x:v>查询CBN-深圳梅沙湾U-H5H-0711这个NR小区的站点名称和纬度</x:v>
      </x:c>
      <x:c r="D352" s="23" t="str">
        <x:v>Recipe - Qwen总结</x:v>
      </x:c>
      <x:c r="E352" s="23" t="str">
        <x:v>同一问题最后一次Qwen调用</x:v>
      </x:c>
      <x:c r="F352" s="21" t="n">
        <x:v>1</x:v>
      </x:c>
      <x:c r="G352" s="21" t="str">
        <x:v>2026-08-14T07:41:51.310</x:v>
      </x:c>
      <x:c r="H352" s="36" t="n">
        <x:v>1555.232</x:v>
      </x:c>
      <x:c r="I352" s="36" t="n">
        <x:f>H352/1000</x:f>
        <x:v>1.555232</x:v>
      </x:c>
      <x:c r="J352" s="21" t="str">
        <x:v>dsv_modify_0814/qwen_3.jsonl</x:v>
      </x:c>
      <x:c r="K352" s="21" t="n">
        <x:v>101</x:v>
      </x:c>
      <x:c r="L352" s="21" t="str">
        <x:v>processed精确文本</x:v>
      </x:c>
    </x:row>
    <x:row r="353">
      <x:c r="A353" s="38" t="n">
        <x:v>52</x:v>
      </x:c>
      <x:c r="B353" s="23" t="str">
        <x:v>看一下CBN-深圳梅沙湾U-H5H-0711这个NR小区的站点名称和纬度。</x:v>
      </x:c>
      <x:c r="C353" s="23" t="str">
        <x:v>查询CBN-深圳梅沙湾U-H5H-0711这个NR小区的站点名称和纬度</x:v>
      </x:c>
      <x:c r="D353" s="23" t="str">
        <x:v>AICO总结</x:v>
      </x:c>
      <x:c r="E353" s="23" t="str">
        <x:v>无tool_calls</x:v>
      </x:c>
      <x:c r="F353" s="21" t="n">
        <x:v>1</x:v>
      </x:c>
      <x:c r="G353" s="21" t="str">
        <x:v>2026-08-14T07:41:53.138</x:v>
      </x:c>
      <x:c r="H353" s="36" t="n">
        <x:v>2428.323</x:v>
      </x:c>
      <x:c r="I353" s="36" t="n">
        <x:f>H353/1000</x:f>
        <x:v>2.428323</x:v>
      </x:c>
      <x:c r="J353" s="21" t="str">
        <x:v>dsv_modify_0814/dsv4_3_aico.jsonl</x:v>
      </x:c>
      <x:c r="K353" s="21" t="n">
        <x:v>152</x:v>
      </x:c>
      <x:c r="L353" s="21" t="str">
        <x:v>original精确文本</x:v>
      </x:c>
    </x:row>
    <x:row r="354">
      <x:c r="A354" s="38" t="n">
        <x:v>52</x:v>
      </x:c>
      <x:c r="B354" s="23" t="str">
        <x:v>看一下CBN-深圳梅沙湾U-H5H-0711这个NR小区的站点名称和纬度。</x:v>
      </x:c>
      <x:c r="C354" s="23" t="str">
        <x:v>查询CBN-深圳梅沙湾U-H5H-0711这个NR小区的站点名称和纬度</x:v>
      </x:c>
      <x:c r="D354" s="23" t="str">
        <x:v>问题推荐</x:v>
      </x:c>
      <x:c r="E354" s="23" t="str">
        <x:v>后续问题推荐</x:v>
      </x:c>
      <x:c r="F354" s="21" t="n">
        <x:v>1</x:v>
      </x:c>
      <x:c r="G354" s="21" t="str">
        <x:v>2026-08-14T07:41:55.862</x:v>
      </x:c>
      <x:c r="H354" s="36" t="n">
        <x:v>3082.335</x:v>
      </x:c>
      <x:c r="I354" s="36" t="n">
        <x:f>H354/1000</x:f>
        <x:v>3.082335</x:v>
      </x:c>
      <x:c r="J354" s="21" t="str">
        <x:v>dsv_modify_0814/dsv4_3_recipe_ds.jsonl</x:v>
      </x:c>
      <x:c r="K354" s="21" t="n">
        <x:v>100</x:v>
      </x:c>
      <x:c r="L354" s="21" t="str">
        <x:v>original精确文本</x:v>
      </x:c>
    </x:row>
    <x:row r="355">
      <x:c r="A355" s="38" t="n">
        <x:v>53</x:v>
      </x:c>
      <x:c r="B355" s="23" t="str">
        <x:v>找出深圳奥特莱斯D-HRH-1和深圳奥特莱斯D-HRH-2这两个5G小区的经度和设备厂商。</x:v>
      </x:c>
      <x:c r="C355" s="23" t="str"/>
      <x:c r="D355" s="23" t="str">
        <x:v>AICO总结</x:v>
      </x:c>
      <x:c r="E355" s="23" t="str">
        <x:v>无tool_calls</x:v>
      </x:c>
      <x:c r="F355" s="21" t="n">
        <x:v>1</x:v>
      </x:c>
      <x:c r="G355" s="21" t="str">
        <x:v>2026-08-14T07:41:56.749</x:v>
      </x:c>
      <x:c r="H355" s="36" t="n">
        <x:v>2340.012</x:v>
      </x:c>
      <x:c r="I355" s="36" t="n">
        <x:f>H355/1000</x:f>
        <x:v>2.340012</x:v>
      </x:c>
      <x:c r="J355" s="21" t="str">
        <x:v>dsv_modify_0814/dsv4_3_aico.jsonl</x:v>
      </x:c>
      <x:c r="K355" s="21" t="n">
        <x:v>153</x:v>
      </x:c>
      <x:c r="L355" s="21" t="str">
        <x:v>original精确文本</x:v>
      </x:c>
    </x:row>
    <x:row r="356">
      <x:c r="A356" s="38" t="n">
        <x:v>53</x:v>
      </x:c>
      <x:c r="B356" s="23" t="str">
        <x:v>找出深圳奥特莱斯D-HRH-1和深圳奥特莱斯D-HRH-2这两个5G小区的经度和设备厂商。</x:v>
      </x:c>
      <x:c r="C356" s="23" t="str"/>
      <x:c r="D356" s="23" t="str">
        <x:v>问题推荐</x:v>
      </x:c>
      <x:c r="E356" s="23" t="str">
        <x:v>后续问题推荐</x:v>
      </x:c>
      <x:c r="F356" s="21" t="n">
        <x:v>1</x:v>
      </x:c>
      <x:c r="G356" s="21" t="str">
        <x:v>2026-08-14T07:41:59.187</x:v>
      </x:c>
      <x:c r="H356" s="36" t="n">
        <x:v>1136.358</x:v>
      </x:c>
      <x:c r="I356" s="36" t="n">
        <x:f>H356/1000</x:f>
        <x:v>1.136358</x:v>
      </x:c>
      <x:c r="J356" s="21" t="str">
        <x:v>dsv_modify_0814/dsv4_3_recipe_ds.jsonl</x:v>
      </x:c>
      <x:c r="K356" s="21" t="n">
        <x:v>101</x:v>
      </x:c>
      <x:c r="L356" s="21" t="str">
        <x:v>original精确文本</x:v>
      </x:c>
    </x:row>
    <x:row r="357">
      <x:c r="A357" s="38" t="n">
        <x:v>54</x:v>
      </x:c>
      <x:c r="B357" s="23" t="str">
        <x:v>确认一下CBN-福州仓山-福州南站火车南站西北美化塔C-HRRH站点下NR小区的移动国家码和小区名称。</x:v>
      </x:c>
      <x:c r="C357" s="23" t="str">
        <x:v>确认CBN-福州仓山-福州南站火车南站西北美化塔C-HRRH站点下NR小区的移动国家码和小区名称</x:v>
      </x:c>
      <x:c r="D357" s="23" t="str">
        <x:v>AICO Tool Call - Skill</x:v>
      </x:c>
      <x:c r="E357" s="23" t="str">
        <x:v>Skill</x:v>
      </x:c>
      <x:c r="F357" s="21" t="n">
        <x:v>1</x:v>
      </x:c>
      <x:c r="G357" s="21" t="str">
        <x:v>2026-08-14T07:42:00.171</x:v>
      </x:c>
      <x:c r="H357" s="36" t="n">
        <x:v>2342.178</x:v>
      </x:c>
      <x:c r="I357" s="36" t="n">
        <x:f>H357/1000</x:f>
        <x:v>2.342178</x:v>
      </x:c>
      <x:c r="J357" s="21" t="str">
        <x:v>dsv_modify_0814/dsv4_3_aico.jsonl</x:v>
      </x:c>
      <x:c r="K357" s="21" t="n">
        <x:v>154</x:v>
      </x:c>
      <x:c r="L357" s="21" t="str">
        <x:v>original精确文本</x:v>
      </x:c>
    </x:row>
    <x:row r="358">
      <x:c r="A358" s="38" t="n">
        <x:v>54</x:v>
      </x:c>
      <x:c r="B358" s="23" t="str">
        <x:v>确认一下CBN-福州仓山-福州南站火车南站西北美化塔C-HRRH站点下NR小区的移动国家码和小区名称。</x:v>
      </x:c>
      <x:c r="C358" s="23" t="str">
        <x:v>确认CBN-福州仓山-福州南站火车南站西北美化塔C-HRRH站点下NR小区的移动国家码和小区名称</x:v>
      </x:c>
      <x:c r="D358" s="23" t="str">
        <x:v>AICO Tool Call - Workflow</x:v>
      </x:c>
      <x:c r="E358" s="23" t="str">
        <x:v>Workflow</x:v>
      </x:c>
      <x:c r="F358" s="21" t="n">
        <x:v>1</x:v>
      </x:c>
      <x:c r="G358" s="21" t="str">
        <x:v>2026-08-14T07:42:02.683</x:v>
      </x:c>
      <x:c r="H358" s="36" t="n">
        <x:v>2424.147</x:v>
      </x:c>
      <x:c r="I358" s="36" t="n">
        <x:f>H358/1000</x:f>
        <x:v>2.424147</x:v>
      </x:c>
      <x:c r="J358" s="21" t="str">
        <x:v>dsv_modify_0814/dsv4_3_aico.jsonl</x:v>
      </x:c>
      <x:c r="K358" s="21" t="n">
        <x:v>155</x:v>
      </x:c>
      <x:c r="L358" s="21" t="str">
        <x:v>original精确文本</x:v>
      </x:c>
    </x:row>
    <x:row r="359">
      <x:c r="A359" s="38" t="n">
        <x:v>54</x:v>
      </x:c>
      <x:c r="B359" s="23" t="str">
        <x:v>确认一下CBN-福州仓山-福州南站火车南站西北美化塔C-HRRH站点下NR小区的移动国家码和小区名称。</x:v>
      </x:c>
      <x:c r="C359" s="23" t="str">
        <x:v>确认CBN-福州仓山-福州南站火车南站西北美化塔C-HRRH站点下NR小区的移动国家码和小区名称</x:v>
      </x:c>
      <x:c r="D359" s="23" t="str">
        <x:v>Recipe - DeepSeek</x:v>
      </x:c>
      <x:c r="E359" s="23" t="str">
        <x:v>DeepSeek recipe调用</x:v>
      </x:c>
      <x:c r="F359" s="21" t="n">
        <x:v>1</x:v>
      </x:c>
      <x:c r="G359" s="21" t="str">
        <x:v>2026-08-14T07:42:06.236</x:v>
      </x:c>
      <x:c r="H359" s="36" t="n">
        <x:v>2345.403</x:v>
      </x:c>
      <x:c r="I359" s="36" t="n">
        <x:f>H359/1000</x:f>
        <x:v>2.3454029999999997</x:v>
      </x:c>
      <x:c r="J359" s="21" t="str">
        <x:v>dsv_modify_0814/dsv4_3_recipe_ds.jsonl</x:v>
      </x:c>
      <x:c r="K359" s="21" t="n">
        <x:v>102</x:v>
      </x:c>
      <x:c r="L359" s="21" t="str">
        <x:v>processed精确文本</x:v>
      </x:c>
    </x:row>
    <x:row r="360">
      <x:c r="A360" s="38" t="n">
        <x:v>54</x:v>
      </x:c>
      <x:c r="B360" s="23" t="str">
        <x:v>确认一下CBN-福州仓山-福州南站火车南站西北美化塔C-HRRH站点下NR小区的移动国家码和小区名称。</x:v>
      </x:c>
      <x:c r="C360" s="23" t="str">
        <x:v>确认CBN-福州仓山-福州南站火车南站西北美化塔C-HRRH站点下NR小区的移动国家码和小区名称</x:v>
      </x:c>
      <x:c r="D360" s="23" t="str">
        <x:v>Recipe - Qwen执行</x:v>
      </x:c>
      <x:c r="E360" s="23" t="str">
        <x:v>同一问题第1次Qwen调用</x:v>
      </x:c>
      <x:c r="F360" s="21" t="n">
        <x:v>1</x:v>
      </x:c>
      <x:c r="G360" s="21" t="str">
        <x:v>2026-08-14T07:42:08.954</x:v>
      </x:c>
      <x:c r="H360" s="36" t="n">
        <x:v>1705.654</x:v>
      </x:c>
      <x:c r="I360" s="36" t="n">
        <x:f>H360/1000</x:f>
        <x:v>1.705654</x:v>
      </x:c>
      <x:c r="J360" s="21" t="str">
        <x:v>dsv_modify_0814/qwen_3.jsonl</x:v>
      </x:c>
      <x:c r="K360" s="21" t="n">
        <x:v>102</x:v>
      </x:c>
      <x:c r="L360" s="21" t="str">
        <x:v>processed精确文本</x:v>
      </x:c>
    </x:row>
    <x:row r="361">
      <x:c r="A361" s="38" t="n">
        <x:v>54</x:v>
      </x:c>
      <x:c r="B361" s="23" t="str">
        <x:v>确认一下CBN-福州仓山-福州南站火车南站西北美化塔C-HRRH站点下NR小区的移动国家码和小区名称。</x:v>
      </x:c>
      <x:c r="C361" s="23" t="str">
        <x:v>确认CBN-福州仓山-福州南站火车南站西北美化塔C-HRRH站点下NR小区的移动国家码和小区名称</x:v>
      </x:c>
      <x:c r="D361" s="23" t="str">
        <x:v>Recipe - Qwen总结</x:v>
      </x:c>
      <x:c r="E361" s="23" t="str">
        <x:v>同一问题最后一次Qwen调用</x:v>
      </x:c>
      <x:c r="F361" s="21" t="n">
        <x:v>1</x:v>
      </x:c>
      <x:c r="G361" s="21" t="str">
        <x:v>2026-08-14T07:42:11.166</x:v>
      </x:c>
      <x:c r="H361" s="36" t="n">
        <x:v>2525.981</x:v>
      </x:c>
      <x:c r="I361" s="36" t="n">
        <x:f>H361/1000</x:f>
        <x:v>2.5259810000000003</x:v>
      </x:c>
      <x:c r="J361" s="21" t="str">
        <x:v>dsv_modify_0814/qwen_3.jsonl</x:v>
      </x:c>
      <x:c r="K361" s="21" t="n">
        <x:v>103</x:v>
      </x:c>
      <x:c r="L361" s="21" t="str">
        <x:v>processed精确文本</x:v>
      </x:c>
    </x:row>
    <x:row r="362">
      <x:c r="A362" s="38" t="n">
        <x:v>54</x:v>
      </x:c>
      <x:c r="B362" s="23" t="str">
        <x:v>确认一下CBN-福州仓山-福州南站火车南站西北美化塔C-HRRH站点下NR小区的移动国家码和小区名称。</x:v>
      </x:c>
      <x:c r="C362" s="23" t="str">
        <x:v>确认CBN-福州仓山-福州南站火车南站西北美化塔C-HRRH站点下NR小区的移动国家码和小区名称</x:v>
      </x:c>
      <x:c r="D362" s="23" t="str">
        <x:v>AICO总结</x:v>
      </x:c>
      <x:c r="E362" s="23" t="str">
        <x:v>无tool_calls</x:v>
      </x:c>
      <x:c r="F362" s="21" t="n">
        <x:v>1</x:v>
      </x:c>
      <x:c r="G362" s="21" t="str">
        <x:v>2026-08-14T07:42:13.948</x:v>
      </x:c>
      <x:c r="H362" s="36" t="n">
        <x:v>2156.598</x:v>
      </x:c>
      <x:c r="I362" s="36" t="n">
        <x:f>H362/1000</x:f>
        <x:v>2.156598</x:v>
      </x:c>
      <x:c r="J362" s="21" t="str">
        <x:v>dsv_modify_0814/dsv4_3_aico.jsonl</x:v>
      </x:c>
      <x:c r="K362" s="21" t="n">
        <x:v>156</x:v>
      </x:c>
      <x:c r="L362" s="21" t="str">
        <x:v>original精确文本</x:v>
      </x:c>
    </x:row>
    <x:row r="363">
      <x:c r="A363" s="38" t="n">
        <x:v>54</x:v>
      </x:c>
      <x:c r="B363" s="23" t="str">
        <x:v>确认一下CBN-福州仓山-福州南站火车南站西北美化塔C-HRRH站点下NR小区的移动国家码和小区名称。</x:v>
      </x:c>
      <x:c r="C363" s="23" t="str">
        <x:v>确认CBN-福州仓山-福州南站火车南站西北美化塔C-HRRH站点下NR小区的移动国家码和小区名称</x:v>
      </x:c>
      <x:c r="D363" s="23" t="str">
        <x:v>问题推荐</x:v>
      </x:c>
      <x:c r="E363" s="23" t="str">
        <x:v>后续问题推荐</x:v>
      </x:c>
      <x:c r="F363" s="21" t="n">
        <x:v>1</x:v>
      </x:c>
      <x:c r="G363" s="21" t="str">
        <x:v>2026-08-14T07:42:16.404</x:v>
      </x:c>
      <x:c r="H363" s="36" t="n">
        <x:v>3130.561</x:v>
      </x:c>
      <x:c r="I363" s="36" t="n">
        <x:f>H363/1000</x:f>
        <x:v>3.130561</x:v>
      </x:c>
      <x:c r="J363" s="21" t="str">
        <x:v>dsv_modify_0814/dsv4_3_recipe_ds.jsonl</x:v>
      </x:c>
      <x:c r="K363" s="21" t="n">
        <x:v>103</x:v>
      </x:c>
      <x:c r="L363" s="21" t="str">
        <x:v>original精确文本</x:v>
      </x:c>
    </x:row>
    <x:row r="364">
      <x:c r="A364" s="38" t="n">
        <x:v>55</x:v>
      </x:c>
      <x:c r="B364" s="23" t="str">
        <x:v>帮我查一下深圳东海岸三D-HRH-1这个5G小区的方位角、电子下倾角和站点名称。</x:v>
      </x:c>
      <x:c r="C364" s="23" t="str">
        <x:v>查询深圳东海岸三D-HRH-1这个5G小区的方位角、电子下倾角和站点名称</x:v>
      </x:c>
      <x:c r="D364" s="23" t="str">
        <x:v>AICO Tool Call - Skill</x:v>
      </x:c>
      <x:c r="E364" s="23" t="str">
        <x:v>Skill</x:v>
      </x:c>
      <x:c r="F364" s="21" t="n">
        <x:v>1</x:v>
      </x:c>
      <x:c r="G364" s="21" t="str">
        <x:v>2026-08-14T07:42:17.290</x:v>
      </x:c>
      <x:c r="H364" s="36" t="n">
        <x:v>2938.673</x:v>
      </x:c>
      <x:c r="I364" s="36" t="n">
        <x:f>H364/1000</x:f>
        <x:v>2.9386729999999996</x:v>
      </x:c>
      <x:c r="J364" s="21" t="str">
        <x:v>dsv_modify_0814/dsv4_3_aico.jsonl</x:v>
      </x:c>
      <x:c r="K364" s="21" t="n">
        <x:v>157</x:v>
      </x:c>
      <x:c r="L364" s="21" t="str">
        <x:v>original精确文本</x:v>
      </x:c>
    </x:row>
    <x:row r="365">
      <x:c r="A365" s="38" t="n">
        <x:v>55</x:v>
      </x:c>
      <x:c r="B365" s="23" t="str">
        <x:v>帮我查一下深圳东海岸三D-HRH-1这个5G小区的方位角、电子下倾角和站点名称。</x:v>
      </x:c>
      <x:c r="C365" s="23" t="str">
        <x:v>查询深圳东海岸三D-HRH-1这个5G小区的方位角、电子下倾角和站点名称</x:v>
      </x:c>
      <x:c r="D365" s="23" t="str">
        <x:v>AICO Tool Call - Workflow</x:v>
      </x:c>
      <x:c r="E365" s="23" t="str">
        <x:v>Workflow</x:v>
      </x:c>
      <x:c r="F365" s="21" t="n">
        <x:v>1</x:v>
      </x:c>
      <x:c r="G365" s="21" t="str">
        <x:v>2026-08-14T07:42:20.393</x:v>
      </x:c>
      <x:c r="H365" s="36" t="n">
        <x:v>2374.934</x:v>
      </x:c>
      <x:c r="I365" s="36" t="n">
        <x:f>H365/1000</x:f>
        <x:v>2.374934</x:v>
      </x:c>
      <x:c r="J365" s="21" t="str">
        <x:v>dsv_modify_0814/dsv4_3_aico.jsonl</x:v>
      </x:c>
      <x:c r="K365" s="21" t="n">
        <x:v>158</x:v>
      </x:c>
      <x:c r="L365" s="21" t="str">
        <x:v>original精确文本</x:v>
      </x:c>
    </x:row>
    <x:row r="366">
      <x:c r="A366" s="38" t="n">
        <x:v>55</x:v>
      </x:c>
      <x:c r="B366" s="23" t="str">
        <x:v>帮我查一下深圳东海岸三D-HRH-1这个5G小区的方位角、电子下倾角和站点名称。</x:v>
      </x:c>
      <x:c r="C366" s="23" t="str">
        <x:v>查询深圳东海岸三D-HRH-1这个5G小区的方位角、电子下倾角和站点名称</x:v>
      </x:c>
      <x:c r="D366" s="23" t="str">
        <x:v>Recipe - DeepSeek</x:v>
      </x:c>
      <x:c r="E366" s="23" t="str">
        <x:v>DeepSeek recipe调用</x:v>
      </x:c>
      <x:c r="F366" s="21" t="n">
        <x:v>1</x:v>
      </x:c>
      <x:c r="G366" s="21" t="str">
        <x:v>2026-08-14T07:42:24.182</x:v>
      </x:c>
      <x:c r="H366" s="36" t="n">
        <x:v>2196.267</x:v>
      </x:c>
      <x:c r="I366" s="36" t="n">
        <x:f>H366/1000</x:f>
        <x:v>2.1962669999999997</x:v>
      </x:c>
      <x:c r="J366" s="21" t="str">
        <x:v>dsv_modify_0814/dsv4_3_recipe_ds.jsonl</x:v>
      </x:c>
      <x:c r="K366" s="21" t="n">
        <x:v>104</x:v>
      </x:c>
      <x:c r="L366" s="21" t="str">
        <x:v>processed精确文本</x:v>
      </x:c>
    </x:row>
    <x:row r="367">
      <x:c r="A367" s="38" t="n">
        <x:v>55</x:v>
      </x:c>
      <x:c r="B367" s="23" t="str">
        <x:v>帮我查一下深圳东海岸三D-HRH-1这个5G小区的方位角、电子下倾角和站点名称。</x:v>
      </x:c>
      <x:c r="C367" s="23" t="str">
        <x:v>查询深圳东海岸三D-HRH-1这个5G小区的方位角、电子下倾角和站点名称</x:v>
      </x:c>
      <x:c r="D367" s="23" t="str">
        <x:v>Recipe - Qwen执行</x:v>
      </x:c>
      <x:c r="E367" s="23" t="str">
        <x:v>同一问题第1次Qwen调用</x:v>
      </x:c>
      <x:c r="F367" s="21" t="n">
        <x:v>1</x:v>
      </x:c>
      <x:c r="G367" s="21" t="str">
        <x:v>2026-08-14T07:42:26.736</x:v>
      </x:c>
      <x:c r="H367" s="36" t="n">
        <x:v>1558.75</x:v>
      </x:c>
      <x:c r="I367" s="36" t="n">
        <x:f>H367/1000</x:f>
        <x:v>1.55875</x:v>
      </x:c>
      <x:c r="J367" s="21" t="str">
        <x:v>dsv_modify_0814/qwen_3.jsonl</x:v>
      </x:c>
      <x:c r="K367" s="21" t="n">
        <x:v>104</x:v>
      </x:c>
      <x:c r="L367" s="21" t="str">
        <x:v>processed精确文本</x:v>
      </x:c>
    </x:row>
    <x:row r="368">
      <x:c r="A368" s="38" t="n">
        <x:v>55</x:v>
      </x:c>
      <x:c r="B368" s="23" t="str">
        <x:v>帮我查一下深圳东海岸三D-HRH-1这个5G小区的方位角、电子下倾角和站点名称。</x:v>
      </x:c>
      <x:c r="C368" s="23" t="str">
        <x:v>查询深圳东海岸三D-HRH-1这个5G小区的方位角、电子下倾角和站点名称</x:v>
      </x:c>
      <x:c r="D368" s="23" t="str">
        <x:v>Recipe - Qwen总结</x:v>
      </x:c>
      <x:c r="E368" s="23" t="str">
        <x:v>同一问题最后一次Qwen调用</x:v>
      </x:c>
      <x:c r="F368" s="21" t="n">
        <x:v>1</x:v>
      </x:c>
      <x:c r="G368" s="21" t="str">
        <x:v>2026-08-14T07:42:28.809</x:v>
      </x:c>
      <x:c r="H368" s="36" t="n">
        <x:v>2228.385</x:v>
      </x:c>
      <x:c r="I368" s="36" t="n">
        <x:f>H368/1000</x:f>
        <x:v>2.2283850000000003</x:v>
      </x:c>
      <x:c r="J368" s="21" t="str">
        <x:v>dsv_modify_0814/qwen_3.jsonl</x:v>
      </x:c>
      <x:c r="K368" s="21" t="n">
        <x:v>105</x:v>
      </x:c>
      <x:c r="L368" s="21" t="str">
        <x:v>processed精确文本</x:v>
      </x:c>
    </x:row>
    <x:row r="369">
      <x:c r="A369" s="38" t="n">
        <x:v>55</x:v>
      </x:c>
      <x:c r="B369" s="23" t="str">
        <x:v>帮我查一下深圳东海岸三D-HRH-1这个5G小区的方位角、电子下倾角和站点名称。</x:v>
      </x:c>
      <x:c r="C369" s="23" t="str">
        <x:v>查询深圳东海岸三D-HRH-1这个5G小区的方位角、电子下倾角和站点名称</x:v>
      </x:c>
      <x:c r="D369" s="23" t="str">
        <x:v>AICO总结</x:v>
      </x:c>
      <x:c r="E369" s="23" t="str">
        <x:v>无tool_calls</x:v>
      </x:c>
      <x:c r="F369" s="21" t="n">
        <x:v>1</x:v>
      </x:c>
      <x:c r="G369" s="21" t="str">
        <x:v>2026-08-14T07:42:31.268</x:v>
      </x:c>
      <x:c r="H369" s="36" t="n">
        <x:v>2622.056</x:v>
      </x:c>
      <x:c r="I369" s="36" t="n">
        <x:f>H369/1000</x:f>
        <x:v>2.622056</x:v>
      </x:c>
      <x:c r="J369" s="21" t="str">
        <x:v>dsv_modify_0814/dsv4_3_aico.jsonl</x:v>
      </x:c>
      <x:c r="K369" s="21" t="n">
        <x:v>159</x:v>
      </x:c>
      <x:c r="L369" s="21" t="str">
        <x:v>original精确文本</x:v>
      </x:c>
    </x:row>
    <x:row r="370">
      <x:c r="A370" s="38" t="n">
        <x:v>55</x:v>
      </x:c>
      <x:c r="B370" s="23" t="str">
        <x:v>帮我查一下深圳东海岸三D-HRH-1这个5G小区的方位角、电子下倾角和站点名称。</x:v>
      </x:c>
      <x:c r="C370" s="23" t="str">
        <x:v>查询深圳东海岸三D-HRH-1这个5G小区的方位角、电子下倾角和站点名称</x:v>
      </x:c>
      <x:c r="D370" s="23" t="str">
        <x:v>问题推荐</x:v>
      </x:c>
      <x:c r="E370" s="23" t="str">
        <x:v>后续问题推荐</x:v>
      </x:c>
      <x:c r="F370" s="21" t="n">
        <x:v>1</x:v>
      </x:c>
      <x:c r="G370" s="21" t="str">
        <x:v>2026-08-14T07:42:34.162</x:v>
      </x:c>
      <x:c r="H370" s="36" t="n">
        <x:v>3216.847</x:v>
      </x:c>
      <x:c r="I370" s="36" t="n">
        <x:f>H370/1000</x:f>
        <x:v>3.216847</x:v>
      </x:c>
      <x:c r="J370" s="21" t="str">
        <x:v>dsv_modify_0814/dsv4_3_recipe_ds.jsonl</x:v>
      </x:c>
      <x:c r="K370" s="21" t="n">
        <x:v>105</x:v>
      </x:c>
      <x:c r="L370" s="21" t="str">
        <x:v>original精确文本</x:v>
      </x:c>
    </x:row>
    <x:row r="371">
      <x:c r="A371" s="38" t="n">
        <x:v>56</x:v>
      </x:c>
      <x:c r="B371" s="23" t="str">
        <x:v>帮我查一下深圳大梅沙D-HRH站点下天线高度大于30米的小区，返回小区名称、天线高度和方位角。</x:v>
      </x:c>
      <x:c r="C371" s="23" t="str">
        <x:v>查询深圳大梅沙D-HRH站点下天线高度大于30米的小区，返回小区名称、天线高度和方位角</x:v>
      </x:c>
      <x:c r="D371" s="23" t="str">
        <x:v>AICO Tool Call - Skill</x:v>
      </x:c>
      <x:c r="E371" s="23" t="str">
        <x:v>Skill</x:v>
      </x:c>
      <x:c r="F371" s="21" t="n">
        <x:v>1</x:v>
      </x:c>
      <x:c r="G371" s="21" t="str">
        <x:v>2026-08-14T07:42:35.046</x:v>
      </x:c>
      <x:c r="H371" s="36" t="n">
        <x:v>2641.965</x:v>
      </x:c>
      <x:c r="I371" s="36" t="n">
        <x:f>H371/1000</x:f>
        <x:v>2.6419650000000003</x:v>
      </x:c>
      <x:c r="J371" s="21" t="str">
        <x:v>dsv_modify_0814/dsv4_3_aico.jsonl</x:v>
      </x:c>
      <x:c r="K371" s="21" t="n">
        <x:v>160</x:v>
      </x:c>
      <x:c r="L371" s="21" t="str">
        <x:v>original精确文本</x:v>
      </x:c>
    </x:row>
    <x:row r="372">
      <x:c r="A372" s="38" t="n">
        <x:v>56</x:v>
      </x:c>
      <x:c r="B372" s="23" t="str">
        <x:v>帮我查一下深圳大梅沙D-HRH站点下天线高度大于30米的小区，返回小区名称、天线高度和方位角。</x:v>
      </x:c>
      <x:c r="C372" s="23" t="str">
        <x:v>查询深圳大梅沙D-HRH站点下天线高度大于30米的小区，返回小区名称、天线高度和方位角</x:v>
      </x:c>
      <x:c r="D372" s="23" t="str">
        <x:v>AICO Tool Call - Workflow</x:v>
      </x:c>
      <x:c r="E372" s="23" t="str">
        <x:v>Workflow</x:v>
      </x:c>
      <x:c r="F372" s="21" t="n">
        <x:v>1</x:v>
      </x:c>
      <x:c r="G372" s="21" t="str">
        <x:v>2026-08-14T07:42:37.838</x:v>
      </x:c>
      <x:c r="H372" s="36" t="n">
        <x:v>2382.262</x:v>
      </x:c>
      <x:c r="I372" s="36" t="n">
        <x:f>H372/1000</x:f>
        <x:v>2.3822620000000003</x:v>
      </x:c>
      <x:c r="J372" s="21" t="str">
        <x:v>dsv_modify_0814/dsv4_3_aico.jsonl</x:v>
      </x:c>
      <x:c r="K372" s="21" t="n">
        <x:v>161</x:v>
      </x:c>
      <x:c r="L372" s="21" t="str">
        <x:v>original精确文本</x:v>
      </x:c>
    </x:row>
    <x:row r="373">
      <x:c r="A373" s="38" t="n">
        <x:v>56</x:v>
      </x:c>
      <x:c r="B373" s="23" t="str">
        <x:v>帮我查一下深圳大梅沙D-HRH站点下天线高度大于30米的小区，返回小区名称、天线高度和方位角。</x:v>
      </x:c>
      <x:c r="C373" s="23" t="str">
        <x:v>查询深圳大梅沙D-HRH站点下天线高度大于30米的小区，返回小区名称、天线高度和方位角</x:v>
      </x:c>
      <x:c r="D373" s="23" t="str">
        <x:v>Recipe - DeepSeek</x:v>
      </x:c>
      <x:c r="E373" s="23" t="str">
        <x:v>DeepSeek recipe调用</x:v>
      </x:c>
      <x:c r="F373" s="21" t="n">
        <x:v>1</x:v>
      </x:c>
      <x:c r="G373" s="21" t="str">
        <x:v>2026-08-14T07:42:41.581</x:v>
      </x:c>
      <x:c r="H373" s="36" t="n">
        <x:v>2367.556</x:v>
      </x:c>
      <x:c r="I373" s="36" t="n">
        <x:f>H373/1000</x:f>
        <x:v>2.367556</x:v>
      </x:c>
      <x:c r="J373" s="21" t="str">
        <x:v>dsv_modify_0814/dsv4_3_recipe_ds.jsonl</x:v>
      </x:c>
      <x:c r="K373" s="21" t="n">
        <x:v>106</x:v>
      </x:c>
      <x:c r="L373" s="21" t="str">
        <x:v>processed精确文本</x:v>
      </x:c>
    </x:row>
    <x:row r="374">
      <x:c r="A374" s="38" t="n">
        <x:v>56</x:v>
      </x:c>
      <x:c r="B374" s="23" t="str">
        <x:v>帮我查一下深圳大梅沙D-HRH站点下天线高度大于30米的小区，返回小区名称、天线高度和方位角。</x:v>
      </x:c>
      <x:c r="C374" s="23" t="str">
        <x:v>查询深圳大梅沙D-HRH站点下天线高度大于30米的小区，返回小区名称、天线高度和方位角</x:v>
      </x:c>
      <x:c r="D374" s="23" t="str">
        <x:v>Recipe - Qwen执行</x:v>
      </x:c>
      <x:c r="E374" s="23" t="str">
        <x:v>同一问题第1次Qwen调用</x:v>
      </x:c>
      <x:c r="F374" s="21" t="n">
        <x:v>1</x:v>
      </x:c>
      <x:c r="G374" s="21" t="str">
        <x:v>2026-08-14T07:42:44.309</x:v>
      </x:c>
      <x:c r="H374" s="36" t="n">
        <x:v>1786.156</x:v>
      </x:c>
      <x:c r="I374" s="36" t="n">
        <x:f>H374/1000</x:f>
        <x:v>1.7861559999999999</x:v>
      </x:c>
      <x:c r="J374" s="21" t="str">
        <x:v>dsv_modify_0814/qwen_3.jsonl</x:v>
      </x:c>
      <x:c r="K374" s="21" t="n">
        <x:v>106</x:v>
      </x:c>
      <x:c r="L374" s="21" t="str">
        <x:v>processed精确文本</x:v>
      </x:c>
    </x:row>
    <x:row r="375">
      <x:c r="A375" s="38" t="n">
        <x:v>56</x:v>
      </x:c>
      <x:c r="B375" s="23" t="str">
        <x:v>帮我查一下深圳大梅沙D-HRH站点下天线高度大于30米的小区，返回小区名称、天线高度和方位角。</x:v>
      </x:c>
      <x:c r="C375" s="23" t="str">
        <x:v>查询深圳大梅沙D-HRH站点下天线高度大于30米的小区，返回小区名称、天线高度和方位角</x:v>
      </x:c>
      <x:c r="D375" s="23" t="str">
        <x:v>Recipe - Qwen总结</x:v>
      </x:c>
      <x:c r="E375" s="23" t="str">
        <x:v>同一问题最后一次Qwen调用</x:v>
      </x:c>
      <x:c r="F375" s="21" t="n">
        <x:v>1</x:v>
      </x:c>
      <x:c r="G375" s="21" t="str">
        <x:v>2026-08-14T07:42:46.572</x:v>
      </x:c>
      <x:c r="H375" s="36" t="n">
        <x:v>2318.806</x:v>
      </x:c>
      <x:c r="I375" s="36" t="n">
        <x:f>H375/1000</x:f>
        <x:v>2.318806</x:v>
      </x:c>
      <x:c r="J375" s="21" t="str">
        <x:v>dsv_modify_0814/qwen_3.jsonl</x:v>
      </x:c>
      <x:c r="K375" s="21" t="n">
        <x:v>107</x:v>
      </x:c>
      <x:c r="L375" s="21" t="str">
        <x:v>processed精确文本</x:v>
      </x:c>
    </x:row>
    <x:row r="376">
      <x:c r="A376" s="38" t="n">
        <x:v>56</x:v>
      </x:c>
      <x:c r="B376" s="23" t="str">
        <x:v>帮我查一下深圳大梅沙D-HRH站点下天线高度大于30米的小区，返回小区名称、天线高度和方位角。</x:v>
      </x:c>
      <x:c r="C376" s="23" t="str">
        <x:v>查询深圳大梅沙D-HRH站点下天线高度大于30米的小区，返回小区名称、天线高度和方位角</x:v>
      </x:c>
      <x:c r="D376" s="23" t="str">
        <x:v>AICO总结</x:v>
      </x:c>
      <x:c r="E376" s="23" t="str">
        <x:v>无tool_calls</x:v>
      </x:c>
      <x:c r="F376" s="21" t="n">
        <x:v>1</x:v>
      </x:c>
      <x:c r="G376" s="21" t="str">
        <x:v>2026-08-14T07:42:49.121</x:v>
      </x:c>
      <x:c r="H376" s="36" t="n">
        <x:v>2423.1</x:v>
      </x:c>
      <x:c r="I376" s="36" t="n">
        <x:f>H376/1000</x:f>
        <x:v>2.4231</x:v>
      </x:c>
      <x:c r="J376" s="21" t="str">
        <x:v>dsv_modify_0814/dsv4_3_aico.jsonl</x:v>
      </x:c>
      <x:c r="K376" s="21" t="n">
        <x:v>162</x:v>
      </x:c>
      <x:c r="L376" s="21" t="str">
        <x:v>original精确文本</x:v>
      </x:c>
    </x:row>
    <x:row r="377">
      <x:c r="A377" s="38" t="n">
        <x:v>56</x:v>
      </x:c>
      <x:c r="B377" s="23" t="str">
        <x:v>帮我查一下深圳大梅沙D-HRH站点下天线高度大于30米的小区，返回小区名称、天线高度和方位角。</x:v>
      </x:c>
      <x:c r="C377" s="23" t="str">
        <x:v>查询深圳大梅沙D-HRH站点下天线高度大于30米的小区，返回小区名称、天线高度和方位角</x:v>
      </x:c>
      <x:c r="D377" s="23" t="str">
        <x:v>问题推荐</x:v>
      </x:c>
      <x:c r="E377" s="23" t="str">
        <x:v>后续问题推荐</x:v>
      </x:c>
      <x:c r="F377" s="21" t="n">
        <x:v>1</x:v>
      </x:c>
      <x:c r="G377" s="21" t="str">
        <x:v>2026-08-14T07:42:51.952</x:v>
      </x:c>
      <x:c r="H377" s="36" t="n">
        <x:v>3185.787</x:v>
      </x:c>
      <x:c r="I377" s="36" t="n">
        <x:f>H377/1000</x:f>
        <x:v>3.185787</x:v>
      </x:c>
      <x:c r="J377" s="21" t="str">
        <x:v>dsv_modify_0814/dsv4_3_recipe_ds.jsonl</x:v>
      </x:c>
      <x:c r="K377" s="21" t="n">
        <x:v>107</x:v>
      </x:c>
      <x:c r="L377" s="21" t="str">
        <x:v>original精确文本</x:v>
      </x:c>
    </x:row>
    <x:row r="378">
      <x:c r="A378" s="38" t="n">
        <x:v>57</x:v>
      </x:c>
      <x:c r="B378" s="23" t="str">
        <x:v>找出深圳梅沙湾D-HRH-2和深圳大梅沙D-HRH-1这两个5G小区中，方位角在90到180度之间的，返回小区名称、方位角和经度。</x:v>
      </x:c>
      <x:c r="C378" s="23" t="str">
        <x:v>找出深圳梅沙湾D-HRH-2和深圳大梅沙D-HRH-1这两个5G小区中，方位角在90到180度之间的，返回小区名称、方位角和经度</x:v>
      </x:c>
      <x:c r="D378" s="23" t="str">
        <x:v>AICO Tool Call - Skill</x:v>
      </x:c>
      <x:c r="E378" s="23" t="str">
        <x:v>Skill</x:v>
      </x:c>
      <x:c r="F378" s="21" t="n">
        <x:v>1</x:v>
      </x:c>
      <x:c r="G378" s="21" t="str">
        <x:v>2026-08-14T07:42:52.774</x:v>
      </x:c>
      <x:c r="H378" s="36" t="n">
        <x:v>3776.701</x:v>
      </x:c>
      <x:c r="I378" s="36" t="n">
        <x:f>H378/1000</x:f>
        <x:v>3.776701</x:v>
      </x:c>
      <x:c r="J378" s="21" t="str">
        <x:v>dsv_modify_0814/dsv4_3_aico.jsonl</x:v>
      </x:c>
      <x:c r="K378" s="21" t="n">
        <x:v>163</x:v>
      </x:c>
      <x:c r="L378" s="21" t="str">
        <x:v>original精确文本</x:v>
      </x:c>
    </x:row>
    <x:row r="379">
      <x:c r="A379" s="38" t="n">
        <x:v>57</x:v>
      </x:c>
      <x:c r="B379" s="23" t="str">
        <x:v>找出深圳梅沙湾D-HRH-2和深圳大梅沙D-HRH-1这两个5G小区中，方位角在90到180度之间的，返回小区名称、方位角和经度。</x:v>
      </x:c>
      <x:c r="C379" s="23" t="str">
        <x:v>找出深圳梅沙湾D-HRH-2和深圳大梅沙D-HRH-1这两个5G小区中，方位角在90到180度之间的，返回小区名称、方位角和经度</x:v>
      </x:c>
      <x:c r="D379" s="23" t="str">
        <x:v>AICO Tool Call - Workflow</x:v>
      </x:c>
      <x:c r="E379" s="23" t="str">
        <x:v>Workflow</x:v>
      </x:c>
      <x:c r="F379" s="21" t="n">
        <x:v>1</x:v>
      </x:c>
      <x:c r="G379" s="21" t="str">
        <x:v>2026-08-14T07:42:56.703</x:v>
      </x:c>
      <x:c r="H379" s="36" t="n">
        <x:v>2643.434</x:v>
      </x:c>
      <x:c r="I379" s="36" t="n">
        <x:f>H379/1000</x:f>
        <x:v>2.643434</x:v>
      </x:c>
      <x:c r="J379" s="21" t="str">
        <x:v>dsv_modify_0814/dsv4_3_aico.jsonl</x:v>
      </x:c>
      <x:c r="K379" s="21" t="n">
        <x:v>164</x:v>
      </x:c>
      <x:c r="L379" s="21" t="str">
        <x:v>original精确文本</x:v>
      </x:c>
    </x:row>
    <x:row r="380">
      <x:c r="A380" s="38" t="n">
        <x:v>57</x:v>
      </x:c>
      <x:c r="B380" s="23" t="str">
        <x:v>找出深圳梅沙湾D-HRH-2和深圳大梅沙D-HRH-1这两个5G小区中，方位角在90到180度之间的，返回小区名称、方位角和经度。</x:v>
      </x:c>
      <x:c r="C380" s="23" t="str">
        <x:v>找出深圳梅沙湾D-HRH-2和深圳大梅沙D-HRH-1这两个5G小区中，方位角在90到180度之间的，返回小区名称、方位角和经度</x:v>
      </x:c>
      <x:c r="D380" s="23" t="str">
        <x:v>Recipe - DeepSeek</x:v>
      </x:c>
      <x:c r="E380" s="23" t="str">
        <x:v>DeepSeek recipe调用</x:v>
      </x:c>
      <x:c r="F380" s="21" t="n">
        <x:v>1</x:v>
      </x:c>
      <x:c r="G380" s="21" t="str">
        <x:v>2026-08-14T07:43:00.731</x:v>
      </x:c>
      <x:c r="H380" s="36" t="n">
        <x:v>2405.342</x:v>
      </x:c>
      <x:c r="I380" s="36" t="n">
        <x:f>H380/1000</x:f>
        <x:v>2.405342</x:v>
      </x:c>
      <x:c r="J380" s="21" t="str">
        <x:v>dsv_modify_0814/dsv4_3_recipe_ds.jsonl</x:v>
      </x:c>
      <x:c r="K380" s="21" t="n">
        <x:v>108</x:v>
      </x:c>
      <x:c r="L380" s="21" t="str">
        <x:v>processed精确文本</x:v>
      </x:c>
    </x:row>
    <x:row r="381">
      <x:c r="A381" s="38" t="n">
        <x:v>57</x:v>
      </x:c>
      <x:c r="B381" s="23" t="str">
        <x:v>找出深圳梅沙湾D-HRH-2和深圳大梅沙D-HRH-1这两个5G小区中，方位角在90到180度之间的，返回小区名称、方位角和经度。</x:v>
      </x:c>
      <x:c r="C381" s="23" t="str">
        <x:v>找出深圳梅沙湾D-HRH-2和深圳大梅沙D-HRH-1这两个5G小区中，方位角在90到180度之间的，返回小区名称、方位角和经度</x:v>
      </x:c>
      <x:c r="D381" s="23" t="str">
        <x:v>Recipe - Qwen执行</x:v>
      </x:c>
      <x:c r="E381" s="23" t="str">
        <x:v>同一问题第1次Qwen调用</x:v>
      </x:c>
      <x:c r="F381" s="21" t="n">
        <x:v>1</x:v>
      </x:c>
      <x:c r="G381" s="21" t="str">
        <x:v>2026-08-14T07:43:03.474</x:v>
      </x:c>
      <x:c r="H381" s="36" t="n">
        <x:v>3156.6</x:v>
      </x:c>
      <x:c r="I381" s="36" t="n">
        <x:f>H381/1000</x:f>
        <x:v>3.1566</x:v>
      </x:c>
      <x:c r="J381" s="21" t="str">
        <x:v>dsv_modify_0814/qwen_3.jsonl</x:v>
      </x:c>
      <x:c r="K381" s="21" t="n">
        <x:v>108</x:v>
      </x:c>
      <x:c r="L381" s="21" t="str">
        <x:v>processed精确文本</x:v>
      </x:c>
    </x:row>
    <x:row r="382">
      <x:c r="A382" s="38" t="n">
        <x:v>57</x:v>
      </x:c>
      <x:c r="B382" s="23" t="str">
        <x:v>找出深圳梅沙湾D-HRH-2和深圳大梅沙D-HRH-1这两个5G小区中，方位角在90到180度之间的，返回小区名称、方位角和经度。</x:v>
      </x:c>
      <x:c r="C382" s="23" t="str">
        <x:v>找出深圳梅沙湾D-HRH-2和深圳大梅沙D-HRH-1这两个5G小区中，方位角在90到180度之间的，返回小区名称、方位角和经度</x:v>
      </x:c>
      <x:c r="D382" s="23" t="str">
        <x:v>Recipe - Qwen总结</x:v>
      </x:c>
      <x:c r="E382" s="23" t="str">
        <x:v>同一问题最后一次Qwen调用</x:v>
      </x:c>
      <x:c r="F382" s="21" t="n">
        <x:v>1</x:v>
      </x:c>
      <x:c r="G382" s="21" t="str">
        <x:v>2026-08-14T07:43:07.108</x:v>
      </x:c>
      <x:c r="H382" s="36" t="n">
        <x:v>1698.182</x:v>
      </x:c>
      <x:c r="I382" s="36" t="n">
        <x:f>H382/1000</x:f>
        <x:v>1.698182</x:v>
      </x:c>
      <x:c r="J382" s="21" t="str">
        <x:v>dsv_modify_0814/qwen_3.jsonl</x:v>
      </x:c>
      <x:c r="K382" s="21" t="n">
        <x:v>109</x:v>
      </x:c>
      <x:c r="L382" s="21" t="str">
        <x:v>processed精确文本</x:v>
      </x:c>
    </x:row>
    <x:row r="383">
      <x:c r="A383" s="38" t="n">
        <x:v>57</x:v>
      </x:c>
      <x:c r="B383" s="23" t="str">
        <x:v>找出深圳梅沙湾D-HRH-2和深圳大梅沙D-HRH-1这两个5G小区中，方位角在90到180度之间的，返回小区名称、方位角和经度。</x:v>
      </x:c>
      <x:c r="C383" s="23" t="str">
        <x:v>找出深圳梅沙湾D-HRH-2和深圳大梅沙D-HRH-1这两个5G小区中，方位角在90到180度之间的，返回小区名称、方位角和经度</x:v>
      </x:c>
      <x:c r="D383" s="23" t="str">
        <x:v>AICO总结</x:v>
      </x:c>
      <x:c r="E383" s="23" t="str">
        <x:v>无tool_calls</x:v>
      </x:c>
      <x:c r="F383" s="21" t="n">
        <x:v>1</x:v>
      </x:c>
      <x:c r="G383" s="21" t="str">
        <x:v>2026-08-14T07:43:09.081</x:v>
      </x:c>
      <x:c r="H383" s="36" t="n">
        <x:v>2672.603</x:v>
      </x:c>
      <x:c r="I383" s="36" t="n">
        <x:f>H383/1000</x:f>
        <x:v>2.672603</x:v>
      </x:c>
      <x:c r="J383" s="21" t="str">
        <x:v>dsv_modify_0814/dsv4_3_aico.jsonl</x:v>
      </x:c>
      <x:c r="K383" s="21" t="n">
        <x:v>165</x:v>
      </x:c>
      <x:c r="L383" s="21" t="str">
        <x:v>original精确文本</x:v>
      </x:c>
    </x:row>
    <x:row r="384">
      <x:c r="A384" s="38" t="n">
        <x:v>57</x:v>
      </x:c>
      <x:c r="B384" s="23" t="str">
        <x:v>找出深圳梅沙湾D-HRH-2和深圳大梅沙D-HRH-1这两个5G小区中，方位角在90到180度之间的，返回小区名称、方位角和经度。</x:v>
      </x:c>
      <x:c r="C384" s="23" t="str">
        <x:v>找出深圳梅沙湾D-HRH-2和深圳大梅沙D-HRH-1这两个5G小区中，方位角在90到180度之间的，返回小区名称、方位角和经度</x:v>
      </x:c>
      <x:c r="D384" s="23" t="str">
        <x:v>问题推荐</x:v>
      </x:c>
      <x:c r="E384" s="23" t="str">
        <x:v>后续问题推荐</x:v>
      </x:c>
      <x:c r="F384" s="21" t="n">
        <x:v>1</x:v>
      </x:c>
      <x:c r="G384" s="21" t="str">
        <x:v>2026-08-14T07:43:12.042</x:v>
      </x:c>
      <x:c r="H384" s="36" t="n">
        <x:v>3501.945</x:v>
      </x:c>
      <x:c r="I384" s="36" t="n">
        <x:f>H384/1000</x:f>
        <x:v>3.501945</x:v>
      </x:c>
      <x:c r="J384" s="21" t="str">
        <x:v>dsv_modify_0814/dsv4_3_recipe_ds.jsonl</x:v>
      </x:c>
      <x:c r="K384" s="21" t="n">
        <x:v>109</x:v>
      </x:c>
      <x:c r="L384" s="21" t="str">
        <x:v>original精确文本</x:v>
      </x:c>
    </x:row>
    <x:row r="385">
      <x:c r="A385" s="38" t="n">
        <x:v>58</x:v>
      </x:c>
      <x:c r="B385" s="23" t="str">
        <x:v>看一下CBN-深圳梅沙湾U-H5H站点下机械下倾角等于6且电子下倾角不超过9的小区，返回小区名称、机械下倾角和电子下倾角。</x:v>
      </x:c>
      <x:c r="C385" s="23" t="str">
        <x:v>查询CBN-深圳梅沙湾U-H5H站点下机械下倾角等于6且电子下倾角不超过9的小区，返回小区名称、机械下倾角和电子下倾角</x:v>
      </x:c>
      <x:c r="D385" s="23" t="str">
        <x:v>AICO Tool Call - Skill</x:v>
      </x:c>
      <x:c r="E385" s="23" t="str">
        <x:v>Skill</x:v>
      </x:c>
      <x:c r="F385" s="21" t="n">
        <x:v>1</x:v>
      </x:c>
      <x:c r="G385" s="21" t="str">
        <x:v>2026-08-14T07:43:12.920</x:v>
      </x:c>
      <x:c r="H385" s="36" t="n">
        <x:v>3830.671</x:v>
      </x:c>
      <x:c r="I385" s="36" t="n">
        <x:f>H385/1000</x:f>
        <x:v>3.8306709999999997</x:v>
      </x:c>
      <x:c r="J385" s="21" t="str">
        <x:v>dsv_modify_0814/dsv4_3_aico.jsonl</x:v>
      </x:c>
      <x:c r="K385" s="21" t="n">
        <x:v>166</x:v>
      </x:c>
      <x:c r="L385" s="21" t="str">
        <x:v>original精确文本</x:v>
      </x:c>
    </x:row>
    <x:row r="386">
      <x:c r="A386" s="38" t="n">
        <x:v>58</x:v>
      </x:c>
      <x:c r="B386" s="23" t="str">
        <x:v>看一下CBN-深圳梅沙湾U-H5H站点下机械下倾角等于6且电子下倾角不超过9的小区，返回小区名称、机械下倾角和电子下倾角。</x:v>
      </x:c>
      <x:c r="C386" s="23" t="str">
        <x:v>查询CBN-深圳梅沙湾U-H5H站点下机械下倾角等于6且电子下倾角不超过9的小区，返回小区名称、机械下倾角和电子下倾角</x:v>
      </x:c>
      <x:c r="D386" s="23" t="str">
        <x:v>AICO Tool Call - Workflow</x:v>
      </x:c>
      <x:c r="E386" s="23" t="str">
        <x:v>Workflow</x:v>
      </x:c>
      <x:c r="F386" s="21" t="n">
        <x:v>1</x:v>
      </x:c>
      <x:c r="G386" s="21" t="str">
        <x:v>2026-08-14T07:43:16.920</x:v>
      </x:c>
      <x:c r="H386" s="36" t="n">
        <x:v>3345.115</x:v>
      </x:c>
      <x:c r="I386" s="36" t="n">
        <x:f>H386/1000</x:f>
        <x:v>3.345115</x:v>
      </x:c>
      <x:c r="J386" s="21" t="str">
        <x:v>dsv_modify_0814/dsv4_3_aico.jsonl</x:v>
      </x:c>
      <x:c r="K386" s="21" t="n">
        <x:v>167</x:v>
      </x:c>
      <x:c r="L386" s="21" t="str">
        <x:v>original精确文本</x:v>
      </x:c>
    </x:row>
    <x:row r="387">
      <x:c r="A387" s="38" t="n">
        <x:v>58</x:v>
      </x:c>
      <x:c r="B387" s="23" t="str">
        <x:v>看一下CBN-深圳梅沙湾U-H5H站点下机械下倾角等于6且电子下倾角不超过9的小区，返回小区名称、机械下倾角和电子下倾角。</x:v>
      </x:c>
      <x:c r="C387" s="23" t="str">
        <x:v>查询CBN-深圳梅沙湾U-H5H站点下机械下倾角等于6且电子下倾角不超过9的小区，返回小区名称、机械下倾角和电子下倾角</x:v>
      </x:c>
      <x:c r="D387" s="23" t="str">
        <x:v>Recipe - DeepSeek</x:v>
      </x:c>
      <x:c r="E387" s="23" t="str">
        <x:v>DeepSeek recipe调用</x:v>
      </x:c>
      <x:c r="F387" s="21" t="n">
        <x:v>1</x:v>
      </x:c>
      <x:c r="G387" s="21" t="str">
        <x:v>2026-08-14T07:43:21.686</x:v>
      </x:c>
      <x:c r="H387" s="36" t="n">
        <x:v>1801.728</x:v>
      </x:c>
      <x:c r="I387" s="36" t="n">
        <x:f>H387/1000</x:f>
        <x:v>1.801728</x:v>
      </x:c>
      <x:c r="J387" s="21" t="str">
        <x:v>dsv_modify_0814/dsv4_3_recipe_ds.jsonl</x:v>
      </x:c>
      <x:c r="K387" s="21" t="n">
        <x:v>110</x:v>
      </x:c>
      <x:c r="L387" s="21" t="str">
        <x:v>processed精确文本</x:v>
      </x:c>
    </x:row>
    <x:row r="388">
      <x:c r="A388" s="38" t="n">
        <x:v>58</x:v>
      </x:c>
      <x:c r="B388" s="23" t="str">
        <x:v>看一下CBN-深圳梅沙湾U-H5H站点下机械下倾角等于6且电子下倾角不超过9的小区，返回小区名称、机械下倾角和电子下倾角。</x:v>
      </x:c>
      <x:c r="C388" s="23" t="str">
        <x:v>查询CBN-深圳梅沙湾U-H5H站点下机械下倾角等于6且电子下倾角不超过9的小区，返回小区名称、机械下倾角和电子下倾角</x:v>
      </x:c>
      <x:c r="D388" s="23" t="str">
        <x:v>Recipe - Qwen执行</x:v>
      </x:c>
      <x:c r="E388" s="23" t="str">
        <x:v>同一问题第1次Qwen调用</x:v>
      </x:c>
      <x:c r="F388" s="21" t="n">
        <x:v>1</x:v>
      </x:c>
      <x:c r="G388" s="21" t="str">
        <x:v>2026-08-14T07:43:23.847</x:v>
      </x:c>
      <x:c r="H388" s="36" t="n">
        <x:v>1993.798</x:v>
      </x:c>
      <x:c r="I388" s="36" t="n">
        <x:f>H388/1000</x:f>
        <x:v>1.993798</x:v>
      </x:c>
      <x:c r="J388" s="21" t="str">
        <x:v>dsv_modify_0814/qwen_3.jsonl</x:v>
      </x:c>
      <x:c r="K388" s="21" t="n">
        <x:v>110</x:v>
      </x:c>
      <x:c r="L388" s="21" t="str">
        <x:v>processed精确文本</x:v>
      </x:c>
    </x:row>
    <x:row r="389">
      <x:c r="A389" s="38" t="n">
        <x:v>58</x:v>
      </x:c>
      <x:c r="B389" s="23" t="str">
        <x:v>看一下CBN-深圳梅沙湾U-H5H站点下机械下倾角等于6且电子下倾角不超过9的小区，返回小区名称、机械下倾角和电子下倾角。</x:v>
      </x:c>
      <x:c r="C389" s="23" t="str">
        <x:v>查询CBN-深圳梅沙湾U-H5H站点下机械下倾角等于6且电子下倾角不超过9的小区，返回小区名称、机械下倾角和电子下倾角</x:v>
      </x:c>
      <x:c r="D389" s="23" t="str">
        <x:v>Recipe - Qwen总结</x:v>
      </x:c>
      <x:c r="E389" s="23" t="str">
        <x:v>同一问题最后一次Qwen调用</x:v>
      </x:c>
      <x:c r="F389" s="21" t="n">
        <x:v>1</x:v>
      </x:c>
      <x:c r="G389" s="21" t="str">
        <x:v>2026-08-14T07:43:26.331</x:v>
      </x:c>
      <x:c r="H389" s="36" t="n">
        <x:v>2550.572</x:v>
      </x:c>
      <x:c r="I389" s="36" t="n">
        <x:f>H389/1000</x:f>
        <x:v>2.5505720000000003</x:v>
      </x:c>
      <x:c r="J389" s="21" t="str">
        <x:v>dsv_modify_0814/qwen_3.jsonl</x:v>
      </x:c>
      <x:c r="K389" s="21" t="n">
        <x:v>111</x:v>
      </x:c>
      <x:c r="L389" s="21" t="str">
        <x:v>processed精确文本</x:v>
      </x:c>
    </x:row>
    <x:row r="390">
      <x:c r="A390" s="38" t="n">
        <x:v>58</x:v>
      </x:c>
      <x:c r="B390" s="23" t="str">
        <x:v>看一下CBN-深圳梅沙湾U-H5H站点下机械下倾角等于6且电子下倾角不超过9的小区，返回小区名称、机械下倾角和电子下倾角。</x:v>
      </x:c>
      <x:c r="C390" s="23" t="str">
        <x:v>查询CBN-深圳梅沙湾U-H5H站点下机械下倾角等于6且电子下倾角不超过9的小区，返回小区名称、机械下倾角和电子下倾角</x:v>
      </x:c>
      <x:c r="D390" s="23" t="str">
        <x:v>AICO总结</x:v>
      </x:c>
      <x:c r="E390" s="23" t="str">
        <x:v>无tool_calls</x:v>
      </x:c>
      <x:c r="F390" s="21" t="n">
        <x:v>1</x:v>
      </x:c>
      <x:c r="G390" s="21" t="str">
        <x:v>2026-08-14T07:43:29.123</x:v>
      </x:c>
      <x:c r="H390" s="36" t="n">
        <x:v>2532.867</x:v>
      </x:c>
      <x:c r="I390" s="36" t="n">
        <x:f>H390/1000</x:f>
        <x:v>2.532867</x:v>
      </x:c>
      <x:c r="J390" s="21" t="str">
        <x:v>dsv_modify_0814/dsv4_3_aico.jsonl</x:v>
      </x:c>
      <x:c r="K390" s="21" t="n">
        <x:v>168</x:v>
      </x:c>
      <x:c r="L390" s="21" t="str">
        <x:v>original精确文本</x:v>
      </x:c>
    </x:row>
    <x:row r="391">
      <x:c r="A391" s="38" t="n">
        <x:v>58</x:v>
      </x:c>
      <x:c r="B391" s="23" t="str">
        <x:v>看一下CBN-深圳梅沙湾U-H5H站点下机械下倾角等于6且电子下倾角不超过9的小区，返回小区名称、机械下倾角和电子下倾角。</x:v>
      </x:c>
      <x:c r="C391" s="23" t="str">
        <x:v>查询CBN-深圳梅沙湾U-H5H站点下机械下倾角等于6且电子下倾角不超过9的小区，返回小区名称、机械下倾角和电子下倾角</x:v>
      </x:c>
      <x:c r="D391" s="23" t="str">
        <x:v>问题推荐</x:v>
      </x:c>
      <x:c r="E391" s="23" t="str">
        <x:v>后续问题推荐</x:v>
      </x:c>
      <x:c r="F391" s="21" t="n">
        <x:v>1</x:v>
      </x:c>
      <x:c r="G391" s="21" t="str">
        <x:v>2026-08-14T07:43:31.934</x:v>
      </x:c>
      <x:c r="H391" s="36" t="n">
        <x:v>3301.727</x:v>
      </x:c>
      <x:c r="I391" s="36" t="n">
        <x:f>H391/1000</x:f>
        <x:v>3.301727</x:v>
      </x:c>
      <x:c r="J391" s="21" t="str">
        <x:v>dsv_modify_0814/dsv4_3_recipe_ds.jsonl</x:v>
      </x:c>
      <x:c r="K391" s="21" t="n">
        <x:v>111</x:v>
      </x:c>
      <x:c r="L391" s="21" t="str">
        <x:v>original精确文本</x:v>
      </x:c>
    </x:row>
    <x:row r="392">
      <x:c r="A392" s="38" t="n">
        <x:v>59</x:v>
      </x:c>
      <x:c r="B392" s="23" t="str">
        <x:v>确认一下CBN-深圳东华风车U-H5H-0711这个小区，如果方位角是0或者180，返回它的基站标识、移动网号和方位角。</x:v>
      </x:c>
      <x:c r="C392" s="23" t="str">
        <x:v>确认CBN-深圳东华风车U-H5H-0711小区，如果方位角是0或者180，返回它的基站标识、移动网号和方位角</x:v>
      </x:c>
      <x:c r="D392" s="23" t="str">
        <x:v>AICO Tool Call - Skill</x:v>
      </x:c>
      <x:c r="E392" s="23" t="str">
        <x:v>Skill</x:v>
      </x:c>
      <x:c r="F392" s="21" t="n">
        <x:v>1</x:v>
      </x:c>
      <x:c r="G392" s="21" t="str">
        <x:v>2026-08-14T07:43:32.810</x:v>
      </x:c>
      <x:c r="H392" s="36" t="n">
        <x:v>2561.077</x:v>
      </x:c>
      <x:c r="I392" s="36" t="n">
        <x:f>H392/1000</x:f>
        <x:v>2.561077</x:v>
      </x:c>
      <x:c r="J392" s="21" t="str">
        <x:v>dsv_modify_0814/dsv4_3_aico.jsonl</x:v>
      </x:c>
      <x:c r="K392" s="21" t="n">
        <x:v>169</x:v>
      </x:c>
      <x:c r="L392" s="21" t="str">
        <x:v>original精确文本</x:v>
      </x:c>
    </x:row>
    <x:row r="393">
      <x:c r="A393" s="38" t="n">
        <x:v>59</x:v>
      </x:c>
      <x:c r="B393" s="23" t="str">
        <x:v>确认一下CBN-深圳东华风车U-H5H-0711这个小区，如果方位角是0或者180，返回它的基站标识、移动网号和方位角。</x:v>
      </x:c>
      <x:c r="C393" s="23" t="str">
        <x:v>确认CBN-深圳东华风车U-H5H-0711小区，如果方位角是0或者180，返回它的基站标识、移动网号和方位角</x:v>
      </x:c>
      <x:c r="D393" s="23" t="str">
        <x:v>AICO Tool Call - Workflow</x:v>
      </x:c>
      <x:c r="E393" s="23" t="str">
        <x:v>Workflow</x:v>
      </x:c>
      <x:c r="F393" s="21" t="n">
        <x:v>1</x:v>
      </x:c>
      <x:c r="G393" s="21" t="str">
        <x:v>2026-08-14T07:43:35.521</x:v>
      </x:c>
      <x:c r="H393" s="36" t="n">
        <x:v>3090.784</x:v>
      </x:c>
      <x:c r="I393" s="36" t="n">
        <x:f>H393/1000</x:f>
        <x:v>3.090784</x:v>
      </x:c>
      <x:c r="J393" s="21" t="str">
        <x:v>dsv_modify_0814/dsv4_3_aico.jsonl</x:v>
      </x:c>
      <x:c r="K393" s="21" t="n">
        <x:v>170</x:v>
      </x:c>
      <x:c r="L393" s="21" t="str">
        <x:v>original精确文本</x:v>
      </x:c>
    </x:row>
    <x:row r="394">
      <x:c r="A394" s="38" t="n">
        <x:v>59</x:v>
      </x:c>
      <x:c r="B394" s="23" t="str">
        <x:v>确认一下CBN-深圳东华风车U-H5H-0711这个小区，如果方位角是0或者180，返回它的基站标识、移动网号和方位角。</x:v>
      </x:c>
      <x:c r="C394" s="23" t="str">
        <x:v>确认CBN-深圳东华风车U-H5H-0711小区，如果方位角是0或者180，返回它的基站标识、移动网号和方位角</x:v>
      </x:c>
      <x:c r="D394" s="23" t="str">
        <x:v>Recipe - DeepSeek</x:v>
      </x:c>
      <x:c r="E394" s="23" t="str">
        <x:v>DeepSeek recipe调用</x:v>
      </x:c>
      <x:c r="F394" s="21" t="n">
        <x:v>1</x:v>
      </x:c>
      <x:c r="G394" s="21" t="str">
        <x:v>2026-08-14T07:43:40.016</x:v>
      </x:c>
      <x:c r="H394" s="36" t="n">
        <x:v>1710.908</x:v>
      </x:c>
      <x:c r="I394" s="36" t="n">
        <x:f>H394/1000</x:f>
        <x:v>1.7109079999999999</x:v>
      </x:c>
      <x:c r="J394" s="21" t="str">
        <x:v>dsv_modify_0814/dsv4_3_recipe_ds.jsonl</x:v>
      </x:c>
      <x:c r="K394" s="21" t="n">
        <x:v>112</x:v>
      </x:c>
      <x:c r="L394" s="21" t="str">
        <x:v>processed精确文本</x:v>
      </x:c>
    </x:row>
    <x:row r="395">
      <x:c r="A395" s="38" t="n">
        <x:v>59</x:v>
      </x:c>
      <x:c r="B395" s="23" t="str">
        <x:v>确认一下CBN-深圳东华风车U-H5H-0711这个小区，如果方位角是0或者180，返回它的基站标识、移动网号和方位角。</x:v>
      </x:c>
      <x:c r="C395" s="23" t="str">
        <x:v>确认CBN-深圳东华风车U-H5H-0711小区，如果方位角是0或者180，返回它的基站标识、移动网号和方位角</x:v>
      </x:c>
      <x:c r="D395" s="23" t="str">
        <x:v>Recipe - Qwen执行</x:v>
      </x:c>
      <x:c r="E395" s="23" t="str">
        <x:v>同一问题第1次Qwen调用</x:v>
      </x:c>
      <x:c r="F395" s="21" t="n">
        <x:v>1</x:v>
      </x:c>
      <x:c r="G395" s="21" t="str">
        <x:v>2026-08-14T07:43:42.071</x:v>
      </x:c>
      <x:c r="H395" s="36" t="n">
        <x:v>2022.242</x:v>
      </x:c>
      <x:c r="I395" s="36" t="n">
        <x:f>H395/1000</x:f>
        <x:v>2.022242</x:v>
      </x:c>
      <x:c r="J395" s="21" t="str">
        <x:v>dsv_modify_0814/qwen_3.jsonl</x:v>
      </x:c>
      <x:c r="K395" s="21" t="n">
        <x:v>112</x:v>
      </x:c>
      <x:c r="L395" s="21" t="str">
        <x:v>processed精确文本</x:v>
      </x:c>
    </x:row>
    <x:row r="396">
      <x:c r="A396" s="38" t="n">
        <x:v>59</x:v>
      </x:c>
      <x:c r="B396" s="23" t="str">
        <x:v>确认一下CBN-深圳东华风车U-H5H-0711这个小区，如果方位角是0或者180，返回它的基站标识、移动网号和方位角。</x:v>
      </x:c>
      <x:c r="C396" s="23" t="str">
        <x:v>确认CBN-深圳东华风车U-H5H-0711小区，如果方位角是0或者180，返回它的基站标识、移动网号和方位角</x:v>
      </x:c>
      <x:c r="D396" s="23" t="str">
        <x:v>Recipe - Qwen总结</x:v>
      </x:c>
      <x:c r="E396" s="23" t="str">
        <x:v>同一问题最后一次Qwen调用</x:v>
      </x:c>
      <x:c r="F396" s="21" t="n">
        <x:v>1</x:v>
      </x:c>
      <x:c r="G396" s="21" t="str">
        <x:v>2026-08-14T07:43:44.580</x:v>
      </x:c>
      <x:c r="H396" s="36" t="n">
        <x:v>2829.048</x:v>
      </x:c>
      <x:c r="I396" s="36" t="n">
        <x:f>H396/1000</x:f>
        <x:v>2.829048</x:v>
      </x:c>
      <x:c r="J396" s="21" t="str">
        <x:v>dsv_modify_0814/qwen_3.jsonl</x:v>
      </x:c>
      <x:c r="K396" s="21" t="n">
        <x:v>113</x:v>
      </x:c>
      <x:c r="L396" s="21" t="str">
        <x:v>processed精确文本</x:v>
      </x:c>
    </x:row>
    <x:row r="397">
      <x:c r="A397" s="38" t="n">
        <x:v>59</x:v>
      </x:c>
      <x:c r="B397" s="23" t="str">
        <x:v>确认一下CBN-深圳东华风车U-H5H-0711这个小区，如果方位角是0或者180，返回它的基站标识、移动网号和方位角。</x:v>
      </x:c>
      <x:c r="C397" s="23" t="str">
        <x:v>确认CBN-深圳东华风车U-H5H-0711小区，如果方位角是0或者180，返回它的基站标识、移动网号和方位角</x:v>
      </x:c>
      <x:c r="D397" s="23" t="str">
        <x:v>AICO总结</x:v>
      </x:c>
      <x:c r="E397" s="23" t="str">
        <x:v>无tool_calls</x:v>
      </x:c>
      <x:c r="F397" s="21" t="n">
        <x:v>1</x:v>
      </x:c>
      <x:c r="G397" s="21" t="str">
        <x:v>2026-08-14T07:43:47.662</x:v>
      </x:c>
      <x:c r="H397" s="36" t="n">
        <x:v>2627.175</x:v>
      </x:c>
      <x:c r="I397" s="36" t="n">
        <x:f>H397/1000</x:f>
        <x:v>2.6271750000000003</x:v>
      </x:c>
      <x:c r="J397" s="21" t="str">
        <x:v>dsv_modify_0814/dsv4_3_aico.jsonl</x:v>
      </x:c>
      <x:c r="K397" s="21" t="n">
        <x:v>171</x:v>
      </x:c>
      <x:c r="L397" s="21" t="str">
        <x:v>original精确文本</x:v>
      </x:c>
    </x:row>
    <x:row r="398">
      <x:c r="A398" s="38" t="n">
        <x:v>59</x:v>
      </x:c>
      <x:c r="B398" s="23" t="str">
        <x:v>确认一下CBN-深圳东华风车U-H5H-0711这个小区，如果方位角是0或者180，返回它的基站标识、移动网号和方位角。</x:v>
      </x:c>
      <x:c r="C398" s="23" t="str">
        <x:v>确认CBN-深圳东华风车U-H5H-0711小区，如果方位角是0或者180，返回它的基站标识、移动网号和方位角</x:v>
      </x:c>
      <x:c r="D398" s="23" t="str">
        <x:v>问题推荐</x:v>
      </x:c>
      <x:c r="E398" s="23" t="str">
        <x:v>后续问题推荐</x:v>
      </x:c>
      <x:c r="F398" s="21" t="n">
        <x:v>1</x:v>
      </x:c>
      <x:c r="G398" s="21" t="str">
        <x:v>2026-08-14T07:43:50.568</x:v>
      </x:c>
      <x:c r="H398" s="36" t="n">
        <x:v>3199.619</x:v>
      </x:c>
      <x:c r="I398" s="36" t="n">
        <x:f>H398/1000</x:f>
        <x:v>3.199619</x:v>
      </x:c>
      <x:c r="J398" s="21" t="str">
        <x:v>dsv_modify_0814/dsv4_3_recipe_ds.jsonl</x:v>
      </x:c>
      <x:c r="K398" s="21" t="n">
        <x:v>113</x:v>
      </x:c>
      <x:c r="L398" s="21" t="str">
        <x:v>original精确文本</x:v>
      </x:c>
    </x:row>
    <x:row r="399">
      <x:c r="A399" s="38" t="n">
        <x:v>60</x:v>
      </x:c>
      <x:c r="B399" s="23" t="str">
        <x:v>帮我筛一下CBN-福州仓山-福州南站火车南站西北美化塔C-HRRH和CBN-深圳天麓八区U-H5H这两个站点下，天线高度不等于20米的小区，返回小区名称、天线高度和纬度。</x:v>
      </x:c>
      <x:c r="C399" s="23" t="str">
        <x:v>查询CBN-福州仓山-福州南站火车南站西北美化塔C-HRRH和CBN-深圳天麓八区U-H5H这两个站点下，天线高度不等于20米的小区，返回小区名称、天线高度和纬度</x:v>
      </x:c>
      <x:c r="D399" s="23" t="str">
        <x:v>AICO Tool Call - Skill</x:v>
      </x:c>
      <x:c r="E399" s="23" t="str">
        <x:v>Skill</x:v>
      </x:c>
      <x:c r="F399" s="21" t="n">
        <x:v>1</x:v>
      </x:c>
      <x:c r="G399" s="21" t="str">
        <x:v>2026-08-14T07:43:51.429</x:v>
      </x:c>
      <x:c r="H399" s="36" t="n">
        <x:v>2782.975</x:v>
      </x:c>
      <x:c r="I399" s="36" t="n">
        <x:f>H399/1000</x:f>
        <x:v>2.782975</x:v>
      </x:c>
      <x:c r="J399" s="21" t="str">
        <x:v>dsv_modify_0814/dsv4_3_aico.jsonl</x:v>
      </x:c>
      <x:c r="K399" s="21" t="n">
        <x:v>172</x:v>
      </x:c>
      <x:c r="L399" s="21" t="str">
        <x:v>original精确文本</x:v>
      </x:c>
    </x:row>
    <x:row r="400">
      <x:c r="A400" s="38" t="n">
        <x:v>60</x:v>
      </x:c>
      <x:c r="B400" s="23" t="str">
        <x:v>帮我筛一下CBN-福州仓山-福州南站火车南站西北美化塔C-HRRH和CBN-深圳天麓八区U-H5H这两个站点下，天线高度不等于20米的小区，返回小区名称、天线高度和纬度。</x:v>
      </x:c>
      <x:c r="C400" s="23" t="str">
        <x:v>查询CBN-福州仓山-福州南站火车南站西北美化塔C-HRRH和CBN-深圳天麓八区U-H5H这两个站点下，天线高度不等于20米的小区，返回小区名称、天线高度和纬度</x:v>
      </x:c>
      <x:c r="D400" s="23" t="str">
        <x:v>AICO Tool Call - Workflow</x:v>
      </x:c>
      <x:c r="E400" s="23" t="str">
        <x:v>Workflow</x:v>
      </x:c>
      <x:c r="F400" s="21" t="n">
        <x:v>1</x:v>
      </x:c>
      <x:c r="G400" s="21" t="str">
        <x:v>2026-08-14T07:43:54.376</x:v>
      </x:c>
      <x:c r="H400" s="36" t="n">
        <x:v>3383.87</x:v>
      </x:c>
      <x:c r="I400" s="36" t="n">
        <x:f>H400/1000</x:f>
        <x:v>3.38387</x:v>
      </x:c>
      <x:c r="J400" s="21" t="str">
        <x:v>dsv_modify_0814/dsv4_3_aico.jsonl</x:v>
      </x:c>
      <x:c r="K400" s="21" t="n">
        <x:v>173</x:v>
      </x:c>
      <x:c r="L400" s="21" t="str">
        <x:v>original精确文本</x:v>
      </x:c>
    </x:row>
    <x:row r="401">
      <x:c r="A401" s="38" t="n">
        <x:v>60</x:v>
      </x:c>
      <x:c r="B401" s="23" t="str">
        <x:v>帮我筛一下CBN-福州仓山-福州南站火车南站西北美化塔C-HRRH和CBN-深圳天麓八区U-H5H这两个站点下，天线高度不等于20米的小区，返回小区名称、天线高度和纬度。</x:v>
      </x:c>
      <x:c r="C401" s="23" t="str">
        <x:v>查询CBN-福州仓山-福州南站火车南站西北美化塔C-HRRH和CBN-深圳天麓八区U-H5H这两个站点下，天线高度不等于20米的小区，返回小区名称、天线高度和纬度</x:v>
      </x:c>
      <x:c r="D401" s="23" t="str">
        <x:v>Recipe - DeepSeek</x:v>
      </x:c>
      <x:c r="E401" s="23" t="str">
        <x:v>DeepSeek recipe调用</x:v>
      </x:c>
      <x:c r="F401" s="21" t="n">
        <x:v>1</x:v>
      </x:c>
      <x:c r="G401" s="21" t="str">
        <x:v>2026-08-14T07:43:58.902</x:v>
      </x:c>
      <x:c r="H401" s="36" t="n">
        <x:v>2159.887</x:v>
      </x:c>
      <x:c r="I401" s="36" t="n">
        <x:f>H401/1000</x:f>
        <x:v>2.1598870000000003</x:v>
      </x:c>
      <x:c r="J401" s="21" t="str">
        <x:v>dsv_modify_0814/dsv4_3_recipe_ds.jsonl</x:v>
      </x:c>
      <x:c r="K401" s="21" t="n">
        <x:v>114</x:v>
      </x:c>
      <x:c r="L401" s="21" t="str">
        <x:v>processed精确文本</x:v>
      </x:c>
    </x:row>
    <x:row r="402">
      <x:c r="A402" s="38" t="n">
        <x:v>60</x:v>
      </x:c>
      <x:c r="B402" s="23" t="str">
        <x:v>帮我筛一下CBN-福州仓山-福州南站火车南站西北美化塔C-HRRH和CBN-深圳天麓八区U-H5H这两个站点下，天线高度不等于20米的小区，返回小区名称、天线高度和纬度。</x:v>
      </x:c>
      <x:c r="C402" s="23" t="str">
        <x:v>查询CBN-福州仓山-福州南站火车南站西北美化塔C-HRRH和CBN-深圳天麓八区U-H5H这两个站点下，天线高度不等于20米的小区，返回小区名称、天线高度和纬度</x:v>
      </x:c>
      <x:c r="D402" s="23" t="str">
        <x:v>Recipe - Qwen执行</x:v>
      </x:c>
      <x:c r="E402" s="23" t="str">
        <x:v>同一问题第1次Qwen调用</x:v>
      </x:c>
      <x:c r="F402" s="21" t="n">
        <x:v>1</x:v>
      </x:c>
      <x:c r="G402" s="21" t="str">
        <x:v>2026-08-14T07:44:01.399</x:v>
      </x:c>
      <x:c r="H402" s="36" t="n">
        <x:v>2356.035</x:v>
      </x:c>
      <x:c r="I402" s="36" t="n">
        <x:f>H402/1000</x:f>
        <x:v>2.356035</x:v>
      </x:c>
      <x:c r="J402" s="21" t="str">
        <x:v>dsv_modify_0814/qwen_3.jsonl</x:v>
      </x:c>
      <x:c r="K402" s="21" t="n">
        <x:v>114</x:v>
      </x:c>
      <x:c r="L402" s="21" t="str">
        <x:v>processed精确文本</x:v>
      </x:c>
    </x:row>
    <x:row r="403">
      <x:c r="A403" s="38" t="n">
        <x:v>60</x:v>
      </x:c>
      <x:c r="B403" s="23" t="str">
        <x:v>帮我筛一下CBN-福州仓山-福州南站火车南站西北美化塔C-HRRH和CBN-深圳天麓八区U-H5H这两个站点下，天线高度不等于20米的小区，返回小区名称、天线高度和纬度。</x:v>
      </x:c>
      <x:c r="C403" s="23" t="str">
        <x:v>查询CBN-福州仓山-福州南站火车南站西北美化塔C-HRRH和CBN-深圳天麓八区U-H5H这两个站点下，天线高度不等于20米的小区，返回小区名称、天线高度和纬度</x:v>
      </x:c>
      <x:c r="D403" s="23" t="str">
        <x:v>Recipe - Qwen总结</x:v>
      </x:c>
      <x:c r="E403" s="23" t="str">
        <x:v>同一问题最后一次Qwen调用</x:v>
      </x:c>
      <x:c r="F403" s="21" t="n">
        <x:v>1</x:v>
      </x:c>
      <x:c r="G403" s="21" t="str">
        <x:v>2026-08-14T07:44:04.280</x:v>
      </x:c>
      <x:c r="H403" s="36" t="n">
        <x:v>4447.322</x:v>
      </x:c>
      <x:c r="I403" s="36" t="n">
        <x:f>H403/1000</x:f>
        <x:v>4.447322</x:v>
      </x:c>
      <x:c r="J403" s="21" t="str">
        <x:v>dsv_modify_0814/qwen_3.jsonl</x:v>
      </x:c>
      <x:c r="K403" s="21" t="n">
        <x:v>115</x:v>
      </x:c>
      <x:c r="L403" s="21" t="str">
        <x:v>processed精确文本</x:v>
      </x:c>
    </x:row>
    <x:row r="404">
      <x:c r="A404" s="38" t="n">
        <x:v>60</x:v>
      </x:c>
      <x:c r="B404" s="23" t="str">
        <x:v>帮我筛一下CBN-福州仓山-福州南站火车南站西北美化塔C-HRRH和CBN-深圳天麓八区U-H5H这两个站点下，天线高度不等于20米的小区，返回小区名称、天线高度和纬度。</x:v>
      </x:c>
      <x:c r="C404" s="23" t="str">
        <x:v>查询CBN-福州仓山-福州南站火车南站西北美化塔C-HRRH和CBN-深圳天麓八区U-H5H这两个站点下，天线高度不等于20米的小区，返回小区名称、天线高度和纬度</x:v>
      </x:c>
      <x:c r="D404" s="23" t="str">
        <x:v>AICO总结</x:v>
      </x:c>
      <x:c r="E404" s="23" t="str">
        <x:v>无tool_calls</x:v>
      </x:c>
      <x:c r="F404" s="21" t="n">
        <x:v>1</x:v>
      </x:c>
      <x:c r="G404" s="21" t="str">
        <x:v>2026-08-14T07:44:09.008</x:v>
      </x:c>
      <x:c r="H404" s="36" t="n">
        <x:v>4378.268</x:v>
      </x:c>
      <x:c r="I404" s="36" t="n">
        <x:f>H404/1000</x:f>
        <x:v>4.378268</x:v>
      </x:c>
      <x:c r="J404" s="21" t="str">
        <x:v>dsv_modify_0814/dsv4_3_aico.jsonl</x:v>
      </x:c>
      <x:c r="K404" s="21" t="n">
        <x:v>174</x:v>
      </x:c>
      <x:c r="L404" s="21" t="str">
        <x:v>original精确文本</x:v>
      </x:c>
    </x:row>
    <x:row r="405">
      <x:c r="A405" s="39" t="n">
        <x:v>60</x:v>
      </x:c>
      <x:c r="B405" s="24" t="str">
        <x:v>帮我筛一下CBN-福州仓山-福州南站火车南站西北美化塔C-HRRH和CBN-深圳天麓八区U-H5H这两个站点下，天线高度不等于20米的小区，返回小区名称、天线高度和纬度。</x:v>
      </x:c>
      <x:c r="C405" s="24" t="str">
        <x:v>查询CBN-福州仓山-福州南站火车南站西北美化塔C-HRRH和CBN-深圳天麓八区U-H5H这两个站点下，天线高度不等于20米的小区，返回小区名称、天线高度和纬度</x:v>
      </x:c>
      <x:c r="D405" s="24" t="str">
        <x:v>问题推荐</x:v>
      </x:c>
      <x:c r="E405" s="24" t="str">
        <x:v>后续问题推荐</x:v>
      </x:c>
      <x:c r="F405" s="22" t="n">
        <x:v>1</x:v>
      </x:c>
      <x:c r="G405" s="22" t="str">
        <x:v>2026-08-14T07:44:13.793</x:v>
      </x:c>
      <x:c r="H405" s="37" t="n">
        <x:v>1645.882</x:v>
      </x:c>
      <x:c r="I405" s="37" t="n">
        <x:f>H405/1000</x:f>
        <x:v>1.645882</x:v>
      </x:c>
      <x:c r="J405" s="22" t="str">
        <x:v>dsv_modify_0814/dsv4_3_recipe_ds.jsonl</x:v>
      </x:c>
      <x:c r="K405" s="22" t="n">
        <x:v>115</x:v>
      </x:c>
      <x:c r="L405" s="22" t="str">
        <x:v>original精确文本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42" t="str">
        <x:v>AICO Agent 模型调用时延汇总（dsv_modify_0814）</x:v>
      </x:c>
      <x:c r="B1" s="42"/>
      <x:c r="C1" s="42"/>
      <x:c r="D1" s="42"/>
      <x:c r="E1" s="42"/>
      <x:c r="F1" s="42"/>
    </x:row>
    <x:row r="3">
      <x:c r="A3" s="34" t="str">
        <x:v>阶段</x:v>
      </x:c>
      <x:c r="B3" s="34" t="str">
        <x:v>调用次数</x:v>
      </x:c>
      <x:c r="C3" s="34" t="str">
        <x:v>总时延(ms)</x:v>
      </x:c>
      <x:c r="D3" s="34" t="str">
        <x:v>平均单次时延(ms)</x:v>
      </x:c>
      <x:c r="E3" s="34" t="str">
        <x:v>平均单次时延(s)</x:v>
      </x:c>
      <x:c r="F3" s="34" t="str">
        <x:v>平均每题累计时延(ms)</x:v>
      </x:c>
    </x:row>
    <x:row r="4">
      <x:c r="A4" s="46" t="str">
        <x:v>AICO Tool Call - Skill</x:v>
      </x:c>
      <x:c r="B4" s="49" t="n">
        <x:f>COUNTIF('调用明细'!$D$2:$D$405,A4)</x:f>
        <x:v>56</x:v>
      </x:c>
      <x:c r="C4" s="49" t="n">
        <x:f>SUMIF('调用明细'!$D$2:$D$405,A4,'调用明细'!$H$2:$H$405)</x:f>
        <x:v>162893.579</x:v>
      </x:c>
      <x:c r="D4" s="49" t="n">
        <x:f>IFERROR(C4/B4,0)</x:f>
        <x:v>2908.8139107142856</x:v>
      </x:c>
      <x:c r="E4" s="49" t="n">
        <x:f>D4/1000</x:f>
        <x:v>2.9088139107142856</x:v>
      </x:c>
      <x:c r="F4" s="49" t="n">
        <x:f>C4/60</x:f>
        <x:v>2714.892983333333</x:v>
      </x:c>
    </x:row>
    <x:row r="5">
      <x:c r="A5" s="46" t="str">
        <x:v>AICO Tool Call - Workflow</x:v>
      </x:c>
      <x:c r="B5" s="49" t="n">
        <x:f>COUNTIF('调用明细'!$D$2:$D$405,A5)</x:f>
        <x:v>55</x:v>
      </x:c>
      <x:c r="C5" s="49" t="n">
        <x:f>SUMIF('调用明细'!$D$2:$D$405,A5,'调用明细'!$H$2:$H$405)</x:f>
        <x:v>148300.00500000006</x:v>
      </x:c>
      <x:c r="D5" s="49" t="n">
        <x:f>IFERROR(C5/B5,0)</x:f>
        <x:v>2696.3637272727283</x:v>
      </x:c>
      <x:c r="E5" s="49" t="n">
        <x:f>D5/1000</x:f>
        <x:v>2.696363727272728</x:v>
      </x:c>
      <x:c r="F5" s="49" t="n">
        <x:f>C5/60</x:f>
        <x:v>2471.6667500000012</x:v>
      </x:c>
    </x:row>
    <x:row r="6">
      <x:c r="A6" s="46" t="str">
        <x:v>Recipe - DeepSeek</x:v>
      </x:c>
      <x:c r="B6" s="49" t="n">
        <x:f>COUNTIF('调用明细'!$D$2:$D$405,A6)</x:f>
        <x:v>55</x:v>
      </x:c>
      <x:c r="C6" s="49" t="n">
        <x:f>SUMIF('调用明细'!$D$2:$D$405,A6,'调用明细'!$H$2:$H$405)</x:f>
        <x:v>109639.61300000001</x:v>
      </x:c>
      <x:c r="D6" s="49" t="n">
        <x:f>IFERROR(C6/B6,0)</x:f>
        <x:v>1993.4475090909093</x:v>
      </x:c>
      <x:c r="E6" s="49" t="n">
        <x:f>D6/1000</x:f>
        <x:v>1.9934475090909094</x:v>
      </x:c>
      <x:c r="F6" s="49" t="n">
        <x:f>C6/60</x:f>
        <x:v>1827.3268833333336</x:v>
      </x:c>
    </x:row>
    <x:row r="7">
      <x:c r="A7" s="46" t="str">
        <x:v>Recipe - Qwen执行</x:v>
      </x:c>
      <x:c r="B7" s="49" t="n">
        <x:f>COUNTIF('调用明细'!$D$2:$D$405,A7)</x:f>
        <x:v>61</x:v>
      </x:c>
      <x:c r="C7" s="49" t="n">
        <x:f>SUMIF('调用明细'!$D$2:$D$405,A7,'调用明细'!$H$2:$H$405)</x:f>
        <x:v>133276.58899999998</x:v>
      </x:c>
      <x:c r="D7" s="49" t="n">
        <x:f>IFERROR(C7/B7,0)</x:f>
        <x:v>2184.862114754098</x:v>
      </x:c>
      <x:c r="E7" s="49" t="n">
        <x:f>D7/1000</x:f>
        <x:v>2.184862114754098</x:v>
      </x:c>
      <x:c r="F7" s="49" t="n">
        <x:f>C7/60</x:f>
        <x:v>2221.276483333333</x:v>
      </x:c>
    </x:row>
    <x:row r="8">
      <x:c r="A8" s="46" t="str">
        <x:v>Recipe - Qwen总结</x:v>
      </x:c>
      <x:c r="B8" s="49" t="n">
        <x:f>COUNTIF('调用明细'!$D$2:$D$405,A8)</x:f>
        <x:v>54</x:v>
      </x:c>
      <x:c r="C8" s="49" t="n">
        <x:f>SUMIF('调用明细'!$D$2:$D$405,A8,'调用明细'!$H$2:$H$405)</x:f>
        <x:v>128056.62399999998</x:v>
      </x:c>
      <x:c r="D8" s="49" t="n">
        <x:f>IFERROR(C8/B8,0)</x:f>
        <x:v>2371.4189629629627</x:v>
      </x:c>
      <x:c r="E8" s="49" t="n">
        <x:f>D8/1000</x:f>
        <x:v>2.3714189629629625</x:v>
      </x:c>
      <x:c r="F8" s="49" t="n">
        <x:f>C8/60</x:f>
        <x:v>2134.2770666666665</x:v>
      </x:c>
    </x:row>
    <x:row r="9">
      <x:c r="A9" s="46" t="str">
        <x:v>AICO总结</x:v>
      </x:c>
      <x:c r="B9" s="49" t="n">
        <x:f>COUNTIF('调用明细'!$D$2:$D$405,A9)</x:f>
        <x:v>60</x:v>
      </x:c>
      <x:c r="C9" s="49" t="n">
        <x:f>SUMIF('调用明细'!$D$2:$D$405,A9,'调用明细'!$H$2:$H$405)</x:f>
        <x:v>174516.19900000005</x:v>
      </x:c>
      <x:c r="D9" s="49" t="n">
        <x:f>IFERROR(C9/B9,0)</x:f>
        <x:v>2908.6033166666675</x:v>
      </x:c>
      <x:c r="E9" s="49" t="n">
        <x:f>D9/1000</x:f>
        <x:v>2.9086033166666674</x:v>
      </x:c>
      <x:c r="F9" s="49" t="n">
        <x:f>C9/60</x:f>
        <x:v>2908.6033166666675</x:v>
      </x:c>
    </x:row>
    <x:row r="10">
      <x:c r="A10" s="46" t="str">
        <x:v>问题推荐</x:v>
      </x:c>
      <x:c r="B10" s="49" t="n">
        <x:f>COUNTIF('调用明细'!$D$2:$D$405,A10)</x:f>
        <x:v>60</x:v>
      </x:c>
      <x:c r="C10" s="49" t="n">
        <x:f>SUMIF('调用明细'!$D$2:$D$405,A10,'调用明细'!$H$2:$H$405)</x:f>
        <x:v>192323.29600000006</x:v>
      </x:c>
      <x:c r="D10" s="49" t="n">
        <x:f>IFERROR(C10/B10,0)</x:f>
        <x:v>3205.3882666666677</x:v>
      </x:c>
      <x:c r="E10" s="49" t="n">
        <x:f>D10/1000</x:f>
        <x:v>3.2053882666666675</x:v>
      </x:c>
      <x:c r="F10" s="49" t="n">
        <x:f>C10/60</x:f>
        <x:v>3205.3882666666677</x:v>
      </x:c>
    </x:row>
    <x:row r="11">
      <x:c r="A11" s="46" t="str">
        <x:v>AICO其他工具</x:v>
      </x:c>
      <x:c r="B11" s="49" t="n">
        <x:f>COUNTIF('调用明细'!$D$2:$D$405,A11)</x:f>
        <x:v>3</x:v>
      </x:c>
      <x:c r="C11" s="49" t="n">
        <x:f>SUMIF('调用明细'!$D$2:$D$405,A11,'调用明细'!$H$2:$H$405)</x:f>
        <x:v>6382.147999999999</x:v>
      </x:c>
      <x:c r="D11" s="49" t="n">
        <x:f>IFERROR(C11/B11,0)</x:f>
        <x:v>2127.3826666666664</x:v>
      </x:c>
      <x:c r="E11" s="49" t="n">
        <x:f>D11/1000</x:f>
        <x:v>2.127382666666666</x:v>
      </x:c>
      <x:c r="F11" s="49" t="n">
        <x:f>C11/60</x:f>
        <x:v>106.36913333333332</x:v>
      </x:c>
    </x:row>
    <x:row r="12">
      <x:c r="A12" s="46" t="str">
        <x:v>AICO错误/失败</x:v>
      </x:c>
      <x:c r="B12" s="49" t="n">
        <x:f>COUNTIF('调用明细'!$D$2:$D$405,A12)</x:f>
        <x:v>0</x:v>
      </x:c>
      <x:c r="C12" s="49" t="n">
        <x:f>SUMIF('调用明细'!$D$2:$D$405,A12,'调用明细'!$H$2:$H$405)</x:f>
        <x:v>0</x:v>
      </x:c>
      <x:c r="D12" s="49" t="n">
        <x:f>IFERROR(C12/B12,0)</x:f>
        <x:v>0</x:v>
      </x:c>
      <x:c r="E12" s="49" t="n">
        <x:f>D12/1000</x:f>
        <x:v>0</x:v>
      </x:c>
      <x:c r="F12" s="49" t="n">
        <x:f>C12/60</x:f>
        <x:v>0</x:v>
      </x:c>
    </x:row>
    <x:row r="13">
      <x:c r="A13" s="46" t="str">
        <x:v>未匹配/探活调用</x:v>
      </x:c>
      <x:c r="B13" s="49" t="n">
        <x:f>COUNTIF('调用明细'!$D$2:$D$405,A13)</x:f>
        <x:v>0</x:v>
      </x:c>
      <x:c r="C13" s="49" t="n">
        <x:f>SUMIF('调用明细'!$D$2:$D$405,A13,'调用明细'!$H$2:$H$405)</x:f>
        <x:v>0</x:v>
      </x:c>
      <x:c r="D13" s="49" t="n">
        <x:f>IFERROR(C13/B13,0)</x:f>
        <x:v>0</x:v>
      </x:c>
      <x:c r="E13" s="49" t="n">
        <x:f>D13/1000</x:f>
        <x:v>0</x:v>
      </x:c>
      <x:c r="F13" s="49" t="n">
        <x:f>C13/60</x:f>
        <x:v>0</x:v>
      </x:c>
    </x:row>
    <x:row r="14">
      <x:c r="A14" s="46" t="str">
        <x:v>Recipe合计</x:v>
      </x:c>
      <x:c r="B14" s="49" t="n">
        <x:f>SUM(B6:B8)</x:f>
        <x:v>170</x:v>
      </x:c>
      <x:c r="C14" s="49" t="n">
        <x:f>SUM(C6:C8)</x:f>
        <x:v>370972.826</x:v>
      </x:c>
      <x:c r="D14" s="49" t="n">
        <x:f>IFERROR(C14/B14,0)</x:f>
        <x:v>2182.193094117647</x:v>
      </x:c>
      <x:c r="E14" s="49" t="n">
        <x:f>D14/1000</x:f>
        <x:v>2.182193094117647</x:v>
      </x:c>
      <x:c r="F14" s="49" t="n">
        <x:f>C14/60</x:f>
        <x:v>6182.880433333334</x:v>
      </x:c>
    </x:row>
    <x:row r="15">
      <x:c r="A15" s="47" t="str">
        <x:v>全部模型调用</x:v>
      </x:c>
      <x:c r="B15" s="50" t="n">
        <x:f>COUNT('调用明细'!$H$2:$H$405)</x:f>
        <x:v>404</x:v>
      </x:c>
      <x:c r="C15" s="50" t="n">
        <x:f>SUM('调用明细'!$H$2:$H$405)</x:f>
        <x:v>1055388.0529999991</x:v>
      </x:c>
      <x:c r="D15" s="50" t="n">
        <x:f>IFERROR(C15/B15,0)</x:f>
        <x:v>2612.346665841582</x:v>
      </x:c>
      <x:c r="E15" s="50" t="n">
        <x:f>D15/1000</x:f>
        <x:v>2.612346665841582</x:v>
      </x:c>
      <x:c r="F15" s="50" t="n">
        <x:f>C15/60</x:f>
        <x:v>17589.80088333332</x:v>
      </x:c>
    </x:row>
    <x:row r="17">
      <x:c r="A17" s="45" t="str">
        <x:v>数据质量检查</x:v>
      </x:c>
      <x:c r="B17" s="45" t="str">
        <x:v>数量</x:v>
      </x:c>
      <x:c r="C17" s="45" t="str">
        <x:v>说明</x:v>
      </x:c>
    </x:row>
    <x:row r="18" ht="15" hidden="0" customHeight="1">
      <x:c r="A18" s="46" t="str">
        <x:v>Excel问题数</x:v>
      </x:c>
      <x:c r="B18" s="51" t="n">
        <x:v>60</x:v>
      </x:c>
      <x:c r="C18" s="53" t="str">
        <x:v>原表C列问题</x:v>
      </x:c>
    </x:row>
    <x:row r="19" ht="15" hidden="0" customHeight="1">
      <x:c r="A19" s="46" t="str">
        <x:v>已提取转换问题</x:v>
      </x:c>
      <x:c r="B19" s="51" t="n">
        <x:v>55</x:v>
      </x:c>
      <x:c r="C19" s="53" t="str">
        <x:v>来自AICO Workflow/Skill参数</x:v>
      </x:c>
    </x:row>
    <x:row r="20" ht="15" hidden="0" customHeight="1">
      <x:c r="A20" s="46" t="str">
        <x:v>AICO日志行数</x:v>
      </x:c>
      <x:c r="B20" s="51" t="n">
        <x:v>174</x:v>
      </x:c>
      <x:c r="C20" s="53" t="str">
        <x:v>dsv_modify_0814/dsv4_3_aico.jsonl</x:v>
      </x:c>
    </x:row>
    <x:row r="21" ht="15" hidden="0" customHeight="1">
      <x:c r="A21" s="46" t="str">
        <x:v>Recipe DS日志行数</x:v>
      </x:c>
      <x:c r="B21" s="51" t="n">
        <x:v>115</x:v>
      </x:c>
      <x:c r="C21" s="53" t="str">
        <x:v>含DeepSeek与问题推荐</x:v>
      </x:c>
    </x:row>
    <x:row r="22" ht="15" hidden="0" customHeight="1">
      <x:c r="A22" s="46" t="str">
        <x:v>Qwen日志行数</x:v>
      </x:c>
      <x:c r="B22" s="51" t="n">
        <x:v>115</x:v>
      </x:c>
      <x:c r="C22" s="53" t="str">
        <x:v>最后一次标记为Qwen总结</x:v>
      </x:c>
    </x:row>
    <x:row r="23" ht="15" hidden="0" customHeight="1">
      <x:c r="A23" s="46" t="str">
        <x:v>未匹配/探活调用数</x:v>
      </x:c>
      <x:c r="B23" s="51" t="n">
        <x:v>0</x:v>
      </x:c>
      <x:c r="C23" s="53" t="str">
        <x:v>未计入60题标准阶段，详见调用明细</x:v>
      </x:c>
    </x:row>
    <x:row r="24" ht="15" hidden="0" customHeight="1">
      <x:c r="A24" s="46" t="str">
        <x:v>流程完整问题数</x:v>
      </x:c>
      <x:c r="B24" s="51" t="n">
        <x:v>54</x:v>
      </x:c>
      <x:c r="C24" s="53" t="str">
        <x:v>具备6个标准阶段</x:v>
      </x:c>
    </x:row>
    <x:row r="25" ht="15" hidden="0" customHeight="1">
      <x:c r="A25" s="48" t="str">
        <x:v>发现的其他AICO工具</x:v>
      </x:c>
      <x:c r="B25" s="52" t="n">
        <x:v>2</x:v>
      </x:c>
      <x:c r="C25" s="54" t="str">
        <x:v>详见调用明细</x:v>
      </x:c>
    </x:row>
  </x:sheetData>
  <x:mergeCells>
    <x:mergeCell ref="A1:F1"/>
  </x:mergeCells>
  <x:pageMargins left="0.7" right="0.7" top="0.75" bottom="0.75" header="0.3" footer="0.3"/>
</x:worksheet>
</file>