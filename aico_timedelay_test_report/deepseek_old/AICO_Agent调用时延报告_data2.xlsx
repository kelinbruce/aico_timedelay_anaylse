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7857d51c3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b5974e8a034bb0"/>
    <x:sheet xmlns:r="http://schemas.openxmlformats.org/officeDocument/2006/relationships" name="调用明细" sheetId="2" r:id="R59b7334fc18444f3"/>
    <x:sheet xmlns:r="http://schemas.openxmlformats.org/officeDocument/2006/relationships" name="汇总" sheetId="3" r:id="R941d2c7e3ab14ffe"/>
  </x:sheets>
</x:workbook>
</file>

<file path=xl/sharedStrings.xml><?xml version="1.0" encoding="utf-8"?>
<x:sst xmlns:x="http://schemas.openxmlformats.org/spreadsheetml/2006/main">
  <x:si>
    <x:t xml:space="preserve">难度</x:t>
  </x:si>
  <x:si>
    <x:t xml:space="preserve">题型</x:t>
  </x:si>
  <x:si>
    <x:t xml:space="preserve">问题</x:t>
  </x:si>
  <x:si>
    <x:t xml:space="preserve">正确填参</x:t>
  </x:si>
  <x:si>
    <x:t xml:space="preserve">答案</x:t>
  </x:si>
  <x:si>
    <x:t xml:space="preserve">Level1</x:t>
  </x:si>
  <x:si>
    <x:t xml:space="preserve">单小区查询基础字段</x:t>
  </x:si>
  <x:si>
    <x:t xml:space="preserve">帮我查一下深圳大梅沙D-HRH-2小区的经度、纬度和方位角。</x:t>
  </x:si>
  <x:si>
    <x:t xml:space="preserve">{
  "entityNames": [
    "深圳大梅沙D-HRH-2"
  ],
  "dataPath": null,
  "dimension": "CELL",
  "ratTypes": [],
  "fields": [
    "经度",
    "纬度",
    "方位角"
  ],
  "filters": null
}</x:t>
  </x:si>
  <x:si>
    <x:t xml:space="preserve">深圳大梅沙D-HRH-2，经度=114.3056，纬度=22.6027，方位角=150</x:t>
  </x:si>
  <x:si>
    <x:t xml:space="preserve">单站点查询天线参数</x:t>
  </x:si>
  <x:si>
    <x:t xml:space="preserve">看一下CBN-深圳天麓八区U-H5H站点下小区的天线高度和机械下倾角。</x:t>
  </x:si>
  <x:si>
    <x:t xml:space="preserve">{
  "entityNames": [
    "CBN-深圳天麓八区U-H5H"
  ],
  "dataPath": null,
  "dimension": "CELL",
  "ratTypes": [],
  "fields": [
    "天线高度",
    "机械下倾角"
  ],
  "filters": null
}</x:t>
  </x:si>
  <x:si>
    <x:t xml:space="preserve">CBN-深圳东海岸三[CBN-深圳天麓八区U-H5H]U-H5H-0713，天线高度=60，机械下倾角=10；CBN-深圳东海岸三[CBN-深圳天麓八区U-H5H]U-H5H-0712，天线高度=60，机械下倾角=10；CBN-深圳东海岸三[CBN-深圳天麓八区U-H5H]U-H5H-0711，天线高度=60，机械下倾角=10</x:t>
  </x:si>
  <x:si>
    <x:t xml:space="preserve">单小区查询标识字段</x:t>
  </x:si>
  <x:si>
    <x:t xml:space="preserve">查询CBN-福州仓山-火车南站西广场南侧高架桥旁C-HRHH-512小区的小区标识和基站标识。</x:t>
  </x:si>
  <x:si>
    <x:t xml:space="preserve">{
  "entityNames": [
    "CBN-福州仓山-火车南站西广场南侧高架桥旁C-HRHH-512"
  ],
  "dataPath": null,
  "dimension": "CELL",
  "ratTypes": [],
  "fields": [
    "小区标识",
    "基站标识"
  ],
  "filters": null
}</x:t>
  </x:si>
  <x:si>
    <x:t xml:space="preserve">CBN-福州仓山-火车南站西广场南侧高架桥旁C-HRHH-512，小区标识=512，基站标识=2143544</x:t>
  </x:si>
  <x:si>
    <x:t xml:space="preserve">单小区查询方向角</x:t>
  </x:si>
  <x:si>
    <x:t xml:space="preserve">确认一下深圳梅沙湾二D-HRH-3小区的方向角是多少。</x:t>
  </x:si>
  <x:si>
    <x:t xml:space="preserve">{
  "entityNames": [
    "深圳梅沙湾二D-HRH-3"
  ],
  "dataPath": null,
  "dimension": "CELL",
  "ratTypes": [],
  "fields": [
    "方向角"
  ],
  "filters": null
}</x:t>
  </x:si>
  <x:si>
    <x:t xml:space="preserve">深圳梅沙湾二D-HRH-3，方位角=355</x:t>
  </x:si>
  <x:si>
    <x:t xml:space="preserve">单站点查询位置信息</x:t>
  </x:si>
  <x:si>
    <x:t xml:space="preserve">找出CBN-福州晋安-高铁鼓山1号隧道洞室1C-HRRH站点下小区的经度和纬度。</x:t>
  </x:si>
  <x:si>
    <x:t xml:space="preserve">{
  "entityNames": [
    "CBN-福州晋安-高铁鼓山1号隧道洞室1C-HRRH"
  ],
  "dataPath": null,
  "dimension": "CELL",
  "ratTypes": [],
  "fields": [
    "经度",
    "纬度"
  ],
  "filters": null
}</x:t>
  </x:si>
  <x:si>
    <x:t xml:space="preserve">CBN-福州晋安-福厦高铁鼓山鼓一隧道C-HRRH-513，经度=119.307778，纬度=26.043889；CBN-福州晋安-福厦高铁鼓山鼓一隧道C-HRRH-512，经度=119.307778，纬度=26.043889</x:t>
  </x:si>
  <x:si>
    <x:t xml:space="preserve">Level2</x:t>
  </x:si>
  <x:si>
    <x:t xml:space="preserve">多小区多字段查询</x:t>
  </x:si>
  <x:si>
    <x:t xml:space="preserve">帮我查一下CBN-福州晋安-福厦高铁苔井山隧道入口（左侧）C-HRRH-513和CBN-福州仓山-福厦高铁鸡笼山隧道C-HRRH-513这两个小区的方位角、电子下倾角和机械下倾角。</x:t>
  </x:si>
  <x:si>
    <x:t xml:space="preserve">{
  "entityNames": [
    "CBN-福州晋安-福厦高铁苔井山隧道入口（左侧）C-HRRH-513",
    "CBN-福州仓山-福厦高铁鸡笼山隧道C-HRRH-513"
  ],
  "dataPath": null,
  "dimension": "CELL",
  "ratTypes": [],
  "fields": [
    "方位角",
    "电子下倾角",
    "机械下倾角"
  ],
  "filters": null
}</x:t>
  </x:si>
  <x:si>
    <x:t xml:space="preserve">CBN-福州仓山-福厦高铁鸡笼山隧道C-HRRH-513，方位角=170，电子下倾角=6，机械下倾角=6；CBN-福州晋安-福厦高铁苔井山隧道入口（左侧）C-HRRH-513，方位角=170，电子下倾角=6，机械下倾角=6</x:t>
  </x:si>
  <x:si>
    <x:t xml:space="preserve">多站点多字段查询</x:t>
  </x:si>
  <x:si>
    <x:t xml:space="preserve">看一下深圳东华风车D-HRH和CBN-深圳上威梅沙二U-H5H这两个站点下小区的基站标识、纬度和设备厂商。</x:t>
  </x:si>
  <x:si>
    <x:t xml:space="preserve">{
  "entityNames": [
    "深圳东华风车D-HRH",
    "CBN-深圳上威梅沙二U-H5H"
  ],
  "dataPath": null,
  "dimension": "CELL",
  "ratTypes": [],
  "fields": [
    "基站标识",
    "纬度",
    "设备厂商"
  ],
  "filters": null
}</x:t>
  </x:si>
  <x:si>
    <x:t xml:space="preserve">CBN-深圳上威梅沙二U-H5H-0711，基站标识=12709399，纬度=22.602184，设备厂商=Huawei；CBN-深圳上威梅沙二U-H5H-0712，基站标识=12709399，纬度=22.602184，设备厂商=Huawei；深圳东华风车D-HRH-1，基站标识=12645467，纬度=22.6261，设备厂商=Huawei</x:t>
  </x:si>
  <x:si>
    <x:t xml:space="preserve">对比一下CBN-深圳梅沙湾U-H5H-0712、CBN-深圳梅沙湾U-H5H-0711和CBN-深圳东海岸三[CBN-深圳天麓八区U-H5H]U-H5H-0711这三个小区的移动国家码、方向角和天线高度。</x:t>
  </x:si>
  <x:si>
    <x:t xml:space="preserve">{
  "entityNames": [
    "CBN-深圳梅沙湾U-H5H-0712",
    "CBN-深圳梅沙湾U-H5H-0711",
    "CBN-深圳东海岸三[CBN-深圳天麓八区U-H5H]U-H5H-0711"
  ],
  "dataPath": null,
  "dimension": "CELL",
  "ratTypes": [],
  "fields": [
    "移动国家码",
    "方向角",
    "天线高度"
  ],
  "filters": null
}</x:t>
  </x:si>
  <x:si>
    <x:t xml:space="preserve">CBN-深圳梅沙湾U-H5H-0711，移动国家码=460，方位角=30，天线高度=16；CBN-深圳梅沙湾U-H5H-0712，移动国家码=460，方位角=200，天线高度=16；CBN-深圳东海岸三[CBN-深圳天麓八区U-H5H]U-H5H-0711，移动国家码=460，方位角=5，天线高度=60</x:t>
  </x:si>
  <x:si>
    <x:t xml:space="preserve">找出CBN-福州晋安-站东路三环北路交叉西C-HRRH和CBN-福州仓山-高铁鸡笼山隧道入口C-HRRH这两个站点下小区的经度、纬度和方位角。</x:t>
  </x:si>
  <x:si>
    <x:t xml:space="preserve">{
  "entityNames": [
    "CBN-福州晋安-站东路三环北路交叉西C-HRRH",
    "CBN-福州仓山-高铁鸡笼山隧道入口C-HRRH"
  ],
  "dataPath": null,
  "dimension": "CELL",
  "ratTypes": [],
  "fields": [
    "经度",
    "纬度",
    "方位角"
  ],
  "filters": null
}</x:t>
  </x:si>
  <x:si>
    <x:t xml:space="preserve">CBN-福州仓山-福厦高铁鸡笼山隧道C-HRRH-513，经度=119.307778，纬度=26.043889，方位角=170；CBN-福州晋安-站东路三环北路交叉西C-HRRH-512，经度=119.307778，纬度=26.043889，方位角=170；CBN-福州仓山-福厦高铁鸡笼山隧道C-HRRH-512，经度=119.307778，纬度=26.043889，方位角=170</x:t>
  </x:si>
  <x:si>
    <x:t xml:space="preserve">确认一下CBN-福州晋安-东浦新村4号楼C-HRHH-512、CBN-福州晋安-东浦新村4号楼C-HRHH-514和深圳大梅沙D-HRH-3这三个小区的站点名称、小区标识和电子下倾角。</x:t>
  </x:si>
  <x:si>
    <x:t xml:space="preserve">{
  "entityNames": [
    "CBN-福州晋安-东浦新村4号楼C-HRHH-512",
    "CBN-福州晋安-东浦新村4号楼C-HRHH-514",
    "深圳大梅沙D-HRH-3"
  ],
  "dataPath": null,
  "dimension": "CELL",
  "ratTypes": [],
  "fields": [
    "站点名称",
    "小区标识",
    "电子下倾角"
  ],
  "filters": null
}</x:t>
  </x:si>
  <x:si>
    <x:t xml:space="preserve">CBN-福州晋安-东浦新村4号楼C-HRHH-512，站点名称=CBN-福州晋安-东浦新村4号楼C-HRHH，小区标识=512，电子下倾角=6；CBN-福州晋安-东浦新村4号楼C-HRHH-514，站点名称=CBN-福州晋安-东浦新村4号楼C-HRHH，小区标识=514，电子下倾角=6；CBN-福州晋安-东浦新村4号楼C-HRHH-512，站点名称=CBN-福州马尾-高铁鼓山1号隧道出口（左侧）C-HRRH，小区标识=512，电子下倾角=6；深圳大梅沙D-HRH-3，站点名称=深圳大梅沙D-HRH，小区标识=3，电子下倾角=0</x:t>
  </x:si>
  <x:si>
    <x:t xml:space="preserve">Level3</x:t>
  </x:si>
  <x:si>
    <x:t xml:space="preserve">单站点5G工参查询</x:t>
  </x:si>
  <x:si>
    <x:t xml:space="preserve">帮我查一下CBN-深圳大梅沙U-H5H站点下5G小区的小区名称、基站标识和方位角。</x:t>
  </x:si>
  <x:si>
    <x:t xml:space="preserve">{
  "entityNames": [
    "CBN-深圳大梅沙U-H5H"
  ],
  "dataPath": null,
  "dimension": "CELL",
  "ratTypes": [
    "NR"
  ],
  "fields": [
    "小区名称",
    "基站标识",
    "方位角"
  ],
  "filters": null
}</x:t>
  </x:si>
  <x:si>
    <x:t xml:space="preserve">CBN-深圳大梅沙U-H5H-0711，小区名称=CBN-深圳大梅沙U-H5H-0711，基站标识=12706280，方位角=0；CBN-深圳大梅沙U-H5H-0712，小区名称=CBN-深圳大梅沙U-H5H-0712，基站标识=12706280，方位角=150；CBN-深圳大梅沙U-H5H-0713，小区名称=CBN-深圳大梅沙U-H5H-0713，基站标识=12706280，方位角=240</x:t>
  </x:si>
  <x:si>
    <x:t xml:space="preserve">单小区NR工参查询</x:t>
  </x:si>
  <x:si>
    <x:t xml:space="preserve">看一下深圳大梅沙二[深圳大梅沙二D-HRH]C-HRH-3这个NR小区的机械下倾角、电子下倾角和天线高度。</x:t>
  </x:si>
  <x:si>
    <x:t xml:space="preserve">{
  "entityNames": [
    "深圳大梅沙二[深圳大梅沙二D-HRH]C-HRH-3"
  ],
  "dataPath": null,
  "dimension": "CELL",
  "ratTypes": [
    "NR"
  ],
  "fields": [
    "机械下倾角",
    "电子下倾角",
    "天线高度"
  ],
  "filters": null
}</x:t>
  </x:si>
  <x:si>
    <x:t xml:space="preserve">深圳大梅沙二[深圳大梅沙二D-HRH]C-HRH-3，机械下倾角=10，电子下倾角=0，天线高度=28</x:t>
  </x:si>
  <x:si>
    <x:t xml:space="preserve">多站点5G工参查询</x:t>
  </x:si>
  <x:si>
    <x:t xml:space="preserve">查询CBN-福州晋安-站东路三环北路交叉西C-HRRH和深圳东海岸三D-HRH这两个站点下5G小区的纬度、经度和设备厂商。</x:t>
  </x:si>
  <x:si>
    <x:t xml:space="preserve">{
  "entityNames": [
    "CBN-福州晋安-站东路三环北路交叉西C-HRRH",
    "深圳东海岸三D-HRH"
  ],
  "dataPath": null,
  "dimension": "CELL",
  "ratTypes": [
    "NR"
  ],
  "fields": [
    "纬度",
    "经度",
    "设备厂商"
  ],
  "filters": null
}</x:t>
  </x:si>
  <x:si>
    <x:t xml:space="preserve">CBN-福州晋安-站东路三环北路交叉西C-HRRH-512，纬度=26.043889，经度=119.307778，设备厂商=Huawei；深圳东海岸三D-HRH-3，纬度=22.6075，经度=114.2987，设备厂商=Huawei；深圳东海岸三D-HRH-2，纬度=22.6075，经度=114.2987，设备厂商=Huawei；深圳东海岸三D-HRH-1，纬度=22.6075，经度=114.2987，设备厂商=Huawei</x:t>
  </x:si>
  <x:si>
    <x:t xml:space="preserve">多小区NR工参查询</x:t>
  </x:si>
  <x:si>
    <x:t xml:space="preserve">找出CBN-福州仓山-福州火车南站C-HRHH-521和CBN-福州晋安-东浦新村4号楼C-HRHH-513这两个NR小区的方向角、移动国家码和站点名称。</x:t>
  </x:si>
  <x:si>
    <x:t xml:space="preserve">{
  "entityNames": [
    "CBN-福州仓山-福州火车南站C-HRHH-521",
    "CBN-福州晋安-东浦新村4号楼C-HRHH-513"
  ],
  "dataPath": null,
  "dimension": "CELL",
  "ratTypes": [
    "NR"
  ],
  "fields": [
    "方向角",
    "移动国家码",
    "站点名称"
  ],
  "filters": null
}</x:t>
  </x:si>
  <x:si>
    <x:t xml:space="preserve">CBN-福州晋安-东浦新村4号楼C-HRHH-513，方位角=170，移动国家码=460，站点名称=CBN-福州晋安-东浦新村4号楼C-HRHH；CBN-福州仓山-福州火车南站C-HRHH-521，方位角=170，移动国家码=460，站点名称=CBN-福州仓山-火车南站西广场南侧高架桥旁C-HRHH</x:t>
  </x:si>
  <x:si>
    <x:t xml:space="preserve">确认一下CBN-深圳梅沙湾二U-H5H站点下5G小区的CGI、小区标识和机械下倾角。</x:t>
  </x:si>
  <x:si>
    <x:t xml:space="preserve">{
  "entityNames": [
    "CBN-深圳梅沙湾二U-H5H"
  ],
  "dataPath": null,
  "dimension": "CELL",
  "ratTypes": [
    "NR"
  ],
  "fields": [
    "CGI",
    "小区标识",
    "机械下倾角"
  ],
  "filters": null
}</x:t>
  </x:si>
  <x:si>
    <x:t xml:space="preserve">CBN-深圳梅沙湾二U-H5H-0711，CGI=460-00-12725381-51，小区标识=51，机械下倾角=4；CBN-深圳梅沙湾二U-H5H-0712，CGI=460-00-12725381-52，小区标识=52，机械下倾角=4；CBN-深圳梅沙湾二U-H5H-0713，CGI=460-00-12725381-53，小区标识=53，机械下倾角=6</x:t>
  </x:si>
  <x:si>
    <x:t xml:space="preserve">Level4</x:t>
  </x:si>
  <x:si>
    <x:t xml:space="preserve">单站点+单条件过滤+多字段返回</x:t>
  </x:si>
  <x:si>
    <x:t xml:space="preserve">帮我查一下CBN-深圳梅沙湾U-H5H站点下天线高度大于30米的小区，返回小区名称、天线高度和方位角。</x:t>
  </x:si>
  <x:si>
    <x:t xml:space="preserve">{
  "entityNames": [
    "CBN-深圳梅沙湾U-H5H"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</x:si>
  <x:si>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无匹配数据</x:t>
  </x:si>
  <x:si>
    <x:t xml:space="preserve">多小区+范围过滤+制式过滤</x:t>
  </x:si>
  <x:si>
    <x:t xml:space="preserve">找出深圳奥特莱斯D-HRW-1和深圳奥特莱斯D-HRH-2这两个5G小区中，机械下倾角在3到9之间的小区名称、机械下倾角和电子下倾角。</x:t>
  </x:si>
  <x:si>
    <x:t xml:space="preserve">{
  "entityNames": [
    "深圳奥特莱斯D-HRW-1",
    "深圳奥特莱斯D-HRH-2"
  ],
  "dataPath": null,
  "dimension": "CELL",
  "ratTypes": [
    "NR"
  ],
  "fields": [
    "小区名称",
    "机械下倾角",
    "电子下倾角"
  ],
  "filters": {
    "and": [
      {
        "field": "机械下倾角",
        "operator": "GE",
        "values": [
          "3"
        ]
      },
      {
        "field": "机械下倾角",
        "operator": "LE",
        "values": [
          "9"
        ]
      }
    ]
  }
}</x:t>
  </x:si>
  <x:si>
    <x:t xml:space="preserve">深圳奥特莱斯D-HRH-2，小区名称=深圳奥特莱斯D-HRH-2，机械下倾角=4，电子下倾角=0</x:t>
  </x:si>
  <x:si>
    <x:t xml:space="preserve">单站点+多条件AND过滤</x:t>
  </x:si>
  <x:si>
    <x:t xml:space="preserve">看一下CBN-福州晋安-东浦新村4号楼C-HRHH站点下，方位角等于90且电子下倾角不超过6的小区，返回小区名称、方位角和电子下倾角。</x:t>
  </x:si>
  <x:si>
    <x:t xml:space="preserve">{
  "entityNames": [
    "CBN-福州晋安-东浦新村4号楼C-HRHH"
  ],
  "dataPath": null,
  "dimension": "CELL",
  "ratTypes": [],
  "fields": [
    "小区名称",
    "方位角",
    "电子下倾角"
  ],
  "filters": {
    "and": [
      {
        "field": "方位角",
        "operator": "EQ",
        "values": [
          "90"
        ]
      },
      {
        "field": "电子下倾角",
        "operator": "LE",
        "values": [
          "6"
        ]
      }
    ]
  }
}</x:t>
  </x:si>
  <x:si>
    <x:t xml:space="preserve">多站点+IN条件过滤</x:t>
  </x:si>
  <x:si>
    <x:t xml:space="preserve">帮我筛一下深圳东海岸三D-HRH和深圳大梅沙海滨公园D-HRW-1这两个站点下，天线高度为20或25米的小区，返回小区名称、天线高度和站点名称。</x:t>
  </x:si>
  <x:si>
    <x:t xml:space="preserve">{
  "entityNames": [
    "深圳东海岸三D-HRH",
    "深圳大梅沙海滨公园D-HRW-1"
  ],
  "dataPath": null,
  "dimension": "CELL",
  "ratTypes": [],
  "fields": [
    "小区名称",
    "天线高度",
    "站点名称"
  ],
  "filters": {
    "and": [
      {
        "field": "天线高度",
        "operator": "IN",
        "values": [
          "20",
          "25"
        ]
      }
    ]
  }
}</x:t>
  </x:si>
  <x:si>
    <x:t xml:space="preserve">单小区+NEQ条件过滤</x:t>
  </x:si>
  <x:si>
    <x:t xml:space="preserve">确认一下CBN-深圳大梅沙二U-H5H-0711这个NR小区，如果方位角不是180度，返回它的小区名称、方位角和经度。</x:t>
  </x:si>
  <x:si>
    <x:t xml:space="preserve">{
  "entityNames": [
    "CBN-深圳大梅沙二U-H5H-0711"
  ],
  "dataPath": null,
  "dimension": "CELL",
  "ratTypes": [
    "NR"
  ],
  "fields": [
    "小区名称",
    "方位角",
    "经度"
  ],
  "filters": {
    "and": [
      {
        "field": "方位角",
        "operator": "NEQ",
        "values": [
          "180"
        ]
      }
    ]
  }
}</x:t>
  </x:si>
  <x:si>
    <x:t xml:space="preserve">CBN-深圳大梅沙二U-H5H-0711，小区名称=CBN-深圳大梅沙二U-H5H-0711，方位角=120，经度=114.302222</x:t>
  </x:si>
  <x:si>
    <x:t xml:space="preserve">帮我查一下 CBN-福州仓山-永南路与站后路交叉口C-HRHH-515 小区的方位角和机械下倾角。</x:t>
  </x:si>
  <x:si>
    <x:t xml:space="preserve">{
  "entityNames": [
    "CBN-福州仓山-永南路与站后路交叉口C-HRHH-515"
  ],
  "dataPath": null,
  "dimension": "CELL",
  "ratTypes": [],
  "fields": [
    "方位角",
    "机械下倾角"
  ],
  "filters": null
}</x:t>
  </x:si>
  <x:si>
    <x:t xml:space="preserve">CBN-福州仓山-永南路与站后路交叉口C-HRHH-515，方位角=170，机械下倾角=6</x:t>
  </x:si>
  <x:si>
    <x:t xml:space="preserve">看一下深圳大梅沙D-HRH 站点下小区的经度和纬度。</x:t>
  </x:si>
  <x:si>
    <x:t xml:space="preserve">{
  "entityNames": [
    "深圳大梅沙D-HRH"
  ],
  "dataPath": null,
  "dimension": "CELL",
  "ratTypes": [],
  "fields": [
    "经度",
    "纬度"
  ],
  "filters": null
}</x:t>
  </x:si>
  <x:si>
    <x:t xml:space="preserve">深圳大梅沙D-HRH-3，经度=114.3056，纬度=22.6027；深圳大梅沙D-HRH-2，经度=114.3056，纬度=22.6027；深圳大梅沙D-HRH-1，经度=114.3056，纬度=22.6027</x:t>
  </x:si>
  <x:si>
    <x:t xml:space="preserve">确认一下 CBN-深圳东华风车U-H5H-0711 小区的基站标识和小区名称。</x:t>
  </x:si>
  <x:si>
    <x:t xml:space="preserve">{
  "entityNames": [
    "CBN-深圳东华风车U-H5H-0711"
  ],
  "dataPath": null,
  "dimension": "CELL",
  "ratTypes": [],
  "fields": [
    "基站标识",
    "小区名称"
  ],
  "filters": null
}</x:t>
  </x:si>
  <x:si>
    <x:t xml:space="preserve">CBN-深圳东华风车U-H5H-0711，基站标识=12712345，小区名称=CBN-深圳东华风车U-H5H-0711</x:t>
  </x:si>
  <x:si>
    <x:t xml:space="preserve">找出 CBN-福州晋安-福厦高铁鼓山鼓一隧道C-HRRH-513 小区的方向角。</x:t>
  </x:si>
  <x:si>
    <x:t xml:space="preserve">{
  "entityNames": [
    "CBN-福州晋安-福厦高铁鼓山鼓一隧道C-HRRH-513"
  ],
  "dataPath": null,
  "dimension": "CELL",
  "ratTypes": [],
  "fields": [
    "方向角"
  ],
  "filters": null
}</x:t>
  </x:si>
  <x:si>
    <x:t xml:space="preserve">CBN-福州晋安-福厦高铁鼓山鼓一隧道C-HRRH-513，方位角=170</x:t>
  </x:si>
  <x:si>
    <x:t xml:space="preserve">单站点查询多字段</x:t>
  </x:si>
  <x:si>
    <x:t xml:space="preserve">帮我查 CBN-深圳梅沙湾U-H5H 站点下小区的站点名称、方位角和机械下倾角。</x:t>
  </x:si>
  <x:si>
    <x:t xml:space="preserve">{
  "entityNames": [
    "CBN-深圳梅沙湾U-H5H"
  ],
  "dataPath": null,
  "dimension": "CELL",
  "ratTypes": [],
  "fields": [
    "站点名称",
    "方位角",
    "机械下倾角"
  ],
  "filters": null
}</x:t>
  </x:si>
  <x:si>
    <x:t xml:space="preserve">CBN-深圳梅沙湾U-H5H-0711，站点名称=CBN-深圳梅沙湾U-H5H，方位角=30，机械下倾角=8；CBN-深圳梅沙湾U-H5H-0712，站点名称=CBN-深圳梅沙湾U-H5H，方位角=200，机械下倾角=2；CBN-深圳梅沙湾U-H5H-0713，站点名称=CBN-深圳梅沙湾U-H5H，方位角=330，机械下倾角=4</x:t>
  </x:si>
  <x:si>
    <x:t xml:space="preserve">帮我查一下 CBN-福州仓山-火车南站西广场南侧高架桥旁C-HRHH-513 和 CBN-福州晋安-站东路三环北路交叉西C-HRRH-512 这两个小区的经度、纬度和方位角。</x:t>
  </x:si>
  <x:si>
    <x:t xml:space="preserve">{
  "entityNames": [
    "CBN-福州仓山-火车南站西广场南侧高架桥旁C-HRHH-513",
    "CBN-福州晋安-站东路三环北路交叉西C-HRRH-512"
  ],
  "dataPath": null,
  "dimension": "CELL",
  "ratTypes": [],
  "fields": [
    "经度",
    "纬度",
    "方位角"
  ],
  "filters": null
}</x:t>
  </x:si>
  <x:si>
    <x:t xml:space="preserve">CBN-福州晋安-站东路三环北路交叉西C-HRRH-512，经度=119.307778，纬度=26.043889，方位角=170；CBN-福州仓山-火车南站西广场南侧高架桥旁C-HRHH-513，经度=119.307778，纬度=26.043889，方位角=170</x:t>
  </x:si>
  <x:si>
    <x:t xml:space="preserve">看一下深圳奥特莱斯D-HRH 和 深圳上威梅沙二D-HRH 这两个站点下小区的天线高度和电子下倾角。</x:t>
  </x:si>
  <x:si>
    <x:t xml:space="preserve">{
  "entityNames": [
    "深圳奥特莱斯D-HRH",
    "深圳上威梅沙二D-HRH"
  ],
  "dataPath": null,
  "dimension": "CELL",
  "ratTypes": [],
  "fields": [
    "天线高度",
    "电子下倾角"
  ],
  "filters": null
}</x:t>
  </x:si>
  <x:si>
    <x:t xml:space="preserve">深圳上威梅沙二D-HRH-2，天线高度=73，电子下倾角=0；深圳上威梅沙二D-HRH-1，天线高度=70，电子下倾角=0；深圳奥特莱斯D-HRH-3，天线高度=23，电子下倾角=0；深圳奥特莱斯D-HRH-2，天线高度=23，电子下倾角=0；深圳奥特莱斯D-HRH-1，天线高度=23，电子下倾角=0</x:t>
  </x:si>
  <x:si>
    <x:t xml:space="preserve">多小区单字段查询</x:t>
  </x:si>
  <x:si>
    <x:t xml:space="preserve">找出 CBN-深圳大梅沙二U-H5H-0711、CBN-深圳盐梅路一U-H5H-0712 和 CBN-深圳东海岸三[CBN-深圳天麓八区U-H5H]U-H5H-0711 这三个小区的站点名称。</x:t>
  </x:si>
  <x:si>
    <x:t xml:space="preserve">{
  "entityNames": [
    "CBN-深圳大梅沙二U-H5H-0711",
    "CBN-深圳盐梅路一U-H5H-0712",
    "CBN-深圳东海岸三[CBN-深圳天麓八区U-H5H]U-H5H-0711"
  ],
  "dataPath": null,
  "dimension": "CELL",
  "ratTypes": [],
  "fields": [
    "站点名称"
  ],
  "filters": null
}</x:t>
  </x:si>
  <x:si>
    <x:t xml:space="preserve">CBN-深圳盐梅路一U-H5H-0712，站点名称=CBN-深圳盐梅路一U-H5H；CBN-深圳大梅沙二U-H5H-0711，站点名称=CBN-深圳大梅沙二U-H5H；CBN-深圳东海岸三[CBN-深圳天麓八区U-H5H]U-H5H-0711，站点名称=CBN-深圳天麓八区U-H5H</x:t>
  </x:si>
  <x:si>
    <x:t xml:space="preserve">对比一下 CBN-福州晋安-东浦新村4号楼C-HRHH-513 和 CBN-福州晋安-东浦新村4号楼C-HRHH-514 这两个小区的设备厂商和小区名称。</x:t>
  </x:si>
  <x:si>
    <x:t xml:space="preserve">{
  "entityNames": [
    "CBN-福州晋安-东浦新村4号楼C-HRHH-513",
    "CBN-福州晋安-东浦新村4号楼C-HRHH-514"
  ],
  "dataPath": null,
  "dimension": "CELL",
  "ratTypes": [],
  "fields": [
    "设备厂商",
    "小区名称"
  ],
  "filters": null
}</x:t>
  </x:si>
  <x:si>
    <x:t xml:space="preserve">CBN-福州晋安-东浦新村4号楼C-HRHH-513，设备厂商=Huawei，小区名称=CBN-福州晋安-东浦新村4号楼C-HRHH-513；CBN-福州晋安-东浦新村4号楼C-HRHH-514，设备厂商=Huawei，小区名称=CBN-福州晋安-东浦新村4号楼C-HRHH-514</x:t>
  </x:si>
  <x:si>
    <x:t xml:space="preserve">确认一下 CBN-福州仓山-福州南站火车南站西北美化塔C-HRRH 和 CBN-深圳大梅沙U-H5H 这两个站点下小区的方位角和天线高度。</x:t>
  </x:si>
  <x:si>
    <x:t xml:space="preserve">{
  "entityNames": [
    "CBN-福州仓山-福州南站火车南站西北美化塔C-HRRH",
    "CBN-深圳大梅沙U-H5H"
  ],
  "dataPath": null,
  "dimension": "CELL",
  "ratTypes": [],
  "fields": [
    "方位角",
    "天线高度"
  ],
  "filters": null
}</x:t>
  </x:si>
  <x:si>
    <x:t xml:space="preserve">CBN-福州仓山-福州南站火车南站西北美化塔C-HRRH-512，方位角=170，天线高度=25；CBN-深圳大梅沙U-H5H-0711，方位角=0，天线高度=42；CBN-深圳大梅沙U-H5H-0712，方位角=150，天线高度=53；CBN-深圳大梅沙U-H5H-0713，方位角=240，天线高度=42</x:t>
  </x:si>
  <x:si>
    <x:t xml:space="preserve">帮我查一下深圳大梅沙D-HRH站点下5G小区的小区名称和方位角。</x:t>
  </x:si>
  <x:si>
    <x:t xml:space="preserve">{
  "entityNames": [
    "深圳大梅沙D-HRH"
  ],
  "dataPath": null,
  "dimension": "CELL",
  "ratTypes": [
    "NR"
  ],
  "fields": [
    "小区名称",
    "方位角"
  ],
  "filters": null
}</x:t>
  </x:si>
  <x:si>
    <x:t xml:space="preserve">深圳大梅沙D-HRH-3，小区名称=深圳大梅沙D-HRH-3，方位角=240；深圳大梅沙D-HRH-2，小区名称=深圳大梅沙D-HRH-2，方位角=150；深圳大梅沙D-HRH-1，小区名称=深圳大梅沙D-HRH-1，方位角=0</x:t>
  </x:si>
  <x:si>
    <x:t xml:space="preserve">看一下CBN-深圳大梅沙二U-H5H-0712这个NR小区的机械下倾角和电子下倾角。</x:t>
  </x:si>
  <x:si>
    <x:t xml:space="preserve">{
  "entityNames": [
    "CBN-深圳大梅沙二U-H5H-0712"
  ],
  "dataPath": null,
  "dimension": "CELL",
  "ratTypes": [
    "NR"
  ],
  "fields": [
    "机械下倾角",
    "电子下倾角"
  ],
  "filters": null
}</x:t>
  </x:si>
  <x:si>
    <x:t xml:space="preserve">CBN-深圳大梅沙二U-H5H-0712，机械下倾角=3，电子下倾角=2</x:t>
  </x:si>
  <x:si>
    <x:t xml:space="preserve">找出深圳奥特莱斯D-HRH和深圳梅沙湾二D-HRH这两个站点下5G小区的站点名称、经度和纬度。</x:t>
  </x:si>
  <x:si>
    <x:t xml:space="preserve">{
  "entityNames": [
    "深圳奥特莱斯D-HRH",
    "深圳梅沙湾二D-HRH"
  ],
  "dataPath": null,
  "dimension": "CELL",
  "ratTypes": [
    "NR"
  ],
  "fields": [
    "站点名称",
    "经度",
    "纬度"
  ],
  "filters": null
}</x:t>
  </x:si>
  <x:si>
    <x:t xml:space="preserve">深圳奥特莱斯D-HRH-3，站点名称=深圳奥特莱斯D-HRH，经度=114.3048，纬度=22.6007；深圳奥特莱斯D-HRH-2，站点名称=深圳奥特莱斯D-HRH，经度=114.3048，纬度=22.6007；深圳奥特莱斯D-HRH-1，站点名称=深圳奥特莱斯D-HRH，经度=114.3048，纬度=22.6007；深圳梅沙湾二D-HRH-3，站点名称=深圳梅沙湾二D-HRH，经度=114.3004，纬度=22.5947；深圳梅沙湾二D-HRH-2，站点名称=深圳梅沙湾二D-HRH，经度=114.3004，纬度=22.5947；深圳梅沙湾二D-HRH-1，站点名称=深圳梅沙湾二D-HRH，经度=114.3004，纬度=22.5947</x:t>
  </x:si>
  <x:si>
    <x:t xml:space="preserve">单小区5G工参查询</x:t>
  </x:si>
  <x:si>
    <x:t xml:space="preserve">确认一下CBN-福州仓山-福州火车南站C-HRHH-521这个5G小区的小区标识和移动网号。</x:t>
  </x:si>
  <x:si>
    <x:t xml:space="preserve">{
  "entityNames": [
    "CBN-福州仓山-福州火车南站C-HRHH-521"
  ],
  "dataPath": null,
  "dimension": "CELL",
  "ratTypes": [
    "NR"
  ],
  "fields": [
    "小区标识",
    "移动网号"
  ],
  "filters": null
}</x:t>
  </x:si>
  <x:si>
    <x:t xml:space="preserve">CBN-福州仓山-福州火车南站C-HRHH-521，小区标识=521，移动网号='00</x:t>
  </x:si>
  <x:si>
    <x:t xml:space="preserve">帮我查CBN-深圳上威梅沙二U-H5H-0711和CBN-深圳东华风车U-H5H-0711这两个NR小区的方向角和天线高度。</x:t>
  </x:si>
  <x:si>
    <x:t xml:space="preserve">{
  "entityNames": [
    "CBN-深圳上威梅沙二U-H5H-0711",
    "CBN-深圳东华风车U-H5H-0711"
  ],
  "dataPath": null,
  "dimension": "CELL",
  "ratTypes": [
    "NR"
  ],
  "fields": [
    "方向角",
    "天线高度"
  ],
  "filters": null
}</x:t>
  </x:si>
  <x:si>
    <x:t xml:space="preserve">CBN-深圳上威梅沙二U-H5H-0711，方位角=100，天线高度=70；CBN-深圳东华风车U-H5H-0711，方位角=170，天线高度=4</x:t>
  </x:si>
  <x:si>
    <x:t xml:space="preserve">帮我查一下深圳大梅沙海滨公园D-HRW站点下，天线高度超过30米的小区，返回小区名称、天线高度和方位角。</x:t>
  </x:si>
  <x:si>
    <x:t xml:space="preserve">{
  "entityNames": [
    "深圳大梅沙海滨公园D-HRW"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</x:si>
  <x:si>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多小区+范围条件过滤+制式过滤</x:t>
  </x:si>
  <x:si>
    <x:t xml:space="preserve">找出CBN-福州仓山-火车南站东南美化塔C-HRHH-518和CBN-福州仓山-福厦高铁鸡笼山隧道C-HRRH-513这两个5G小区中，机械下倾角在3到9之间的小区名称和机械下倾角。</x:t>
  </x:si>
  <x:si>
    <x:t xml:space="preserve">{
  "entityNames": [
    "CBN-福州仓山-火车南站东南美化塔C-HRHH-518",
    "CBN-福州仓山-福厦高铁鸡笼山隧道C-HRRH-513"
  ],
  "dataPath": null,
  "dimension": "CELL",
  "ratTypes": [
    "NR"
  ],
  "fields": [
    "小区名称",
    "机械下倾角"
  ],
  "filters": {
    "and": [
      {
        "field": "机械下倾角",
        "operator": "GE",
        "values": [
          "3"
        ]
      },
      {
        "field": "机械下倾角",
        "operator": "LE",
        "values": [
          "9"
        ]
      }
    ]
  }
}</x:t>
  </x:si>
  <x:si>
    <x:t xml:space="preserve">CBN-福州仓山-火车南站东南美化塔C-HRHH-518，小区名称=CBN-福州仓山-火车南站东南美化塔C-HRHH-518，机械下倾角=6；CBN-福州仓山-福厦高铁鸡笼山隧道C-HRRH-513，小区名称=CBN-福州仓山-福厦高铁鸡笼山隧道C-HRRH-513，机械下倾角=6</x:t>
  </x:si>
  <x:si>
    <x:t xml:space="preserve">单小区+多条件AND过滤+字段返回</x:t>
  </x:si>
  <x:si>
    <x:t xml:space="preserve">确认一下CBN-深圳梅沙湾U-H5H-0712小区，如果方位角等于180且电子下倾角不低于6，返回它的站点名称、方位角和电子下倾角。</x:t>
  </x:si>
  <x:si>
    <x:t xml:space="preserve">{
  "entityNames": [
    "CBN-深圳梅沙湾U-H5H-0712"
  ],
  "dataPath": null,
  "dimension": "CELL",
  "ratTypes": [],
  "fields": [
    "站点名称",
    "方位角",
    "电子下倾角"
  ],
  "filters": {
    "and": [
      {
        "field": "方位角",
        "operator": "EQ",
        "values": [
          "180"
        ]
      },
      {
        "field": "电子下倾角",
        "operator": "GE",
        "values": [
          "6"
        ]
      }
    ]
  }
}</x:t>
  </x:si>
  <x:si>
    <x:t xml:space="preserve">多站点+IN条件过滤+NR制式</x:t>
  </x:si>
  <x:si>
    <x:t xml:space="preserve">看一下深圳东海岸三D-HRH和深圳奥特莱斯D-HRH这两个站点下，NR制式中方位角为90或270的小区，返回小区名称和方位角。</x:t>
  </x:si>
  <x:si>
    <x:t xml:space="preserve">{
  "entityNames": [
    "深圳东海岸三D-HRH",
    "深圳奥特莱斯D-HRH"
  ],
  "dataPath": null,
  "dimension": "CELL",
  "ratTypes": [
    "NR"
  ],
  "fields": [
    "小区名称",
    "方位角"
  ],
  "filters": {
    "and": [
      {
        "field": "方位角",
        "operator": "IN",
        "values": [
          "90",
          "270"
        ]
      }
    ]
  }
}</x:t>
  </x:si>
  <x:si>
    <x:t xml:space="preserve">单小区+NEQ条件过滤+基础字段</x:t>
  </x:si>
  <x:si>
    <x:t xml:space="preserve">帮我筛一下CBN-福州晋安-东浦新村4号楼C-HRHH-512小区，排除掉天线高度等于20米的情况，返回小区名称、天线高度和经度。</x:t>
  </x:si>
  <x:si>
    <x:t xml:space="preserve">{
  "entityNames": [
    "CBN-福州晋安-东浦新村4号楼C-HRHH-512"
  ],
  "dataPath": null,
  "dimension": "CELL",
  "ratTypes": [],
  "fields": [
    "小区名称",
    "天线高度",
    "经度"
  ],
  "filters": {
    "and": [
      {
        "field": "天线高度",
        "operator": "NEQ",
        "values": [
          "20"
        ]
      }
    ]
  }
}</x:t>
  </x:si>
  <x:si>
    <x:t xml:space="preserve">CBN-福州晋安-东浦新村4号楼C-HRHH-512，小区名称=CBN-福州晋安-东浦新村4号楼C-HRHH-512，天线高度=25，经度=119.307778；CBN-福州晋安-东浦新村4号楼C-HRHH-512，小区名称=CBN-福州晋安-东浦新村4号楼C-HRHH-512，天线高度=25，经度=119.307778</x:t>
  </x:si>
  <x:si>
    <x:t xml:space="preserve">单小区查方位角和天线高度</x:t>
  </x:si>
  <x:si>
    <x:t xml:space="preserve">帮我查一下深圳奥特莱斯D-HRH-1小区的方位角和天线高度。</x:t>
  </x:si>
  <x:si>
    <x:t xml:space="preserve">{
  "entityNames": [
    "深圳奥特莱斯D-HRH-1"
  ],
  "dataPath": null,
  "dimension": "CELL",
  "ratTypes": [],
  "fields": [
    "方位角",
    "天线高度"
  ],
  "filters": null
}</x:t>
  </x:si>
  <x:si>
    <x:t xml:space="preserve">深圳奥特莱斯D-HRH-1，方位角=120，天线高度=23</x:t>
  </x:si>
  <x:si>
    <x:t xml:space="preserve">单站点查小区名称和经度</x:t>
  </x:si>
  <x:si>
    <x:t xml:space="preserve">看一下CBN-深圳梅沙湾二U-H5H站点下的小区名称和经度。</x:t>
  </x:si>
  <x:si>
    <x:t xml:space="preserve">{
  "entityNames": [
    "CBN-深圳梅沙湾二U-H5H"
  ],
  "dataPath": null,
  "dimension": "CELL",
  "ratTypes": [],
  "fields": [
    "小区名称",
    "经度"
  ],
  "filters": null
}</x:t>
  </x:si>
  <x:si>
    <x:t xml:space="preserve">CBN-深圳梅沙湾二U-H5H-0711，小区名称=CBN-深圳梅沙湾二U-H5H-0711，经度=114.3004；CBN-深圳梅沙湾二U-H5H-0712，小区名称=CBN-深圳梅沙湾二U-H5H-0712，经度=114.3004；CBN-深圳梅沙湾二U-H5H-0713，小区名称=CBN-深圳梅沙湾二U-H5H-0713，经度=114.3004</x:t>
  </x:si>
  <x:si>
    <x:t xml:space="preserve">单小区查电子下倾角和基站标识</x:t>
  </x:si>
  <x:si>
    <x:t xml:space="preserve">确认一下CBN-福州晋安-东浦新村4号楼C-HRHH-513这个小区的电子下倾角和基站标识是多少。</x:t>
  </x:si>
  <x:si>
    <x:t xml:space="preserve">{
  "entityNames": [
    "CBN-福州晋安-东浦新村4号楼C-HRHH-513"
  ],
  "dataPath": null,
  "dimension": "CELL",
  "ratTypes": [],
  "fields": [
    "电子下倾角",
    "基站标识"
  ],
  "filters": null
}</x:t>
  </x:si>
  <x:si>
    <x:t xml:space="preserve">CBN-福州晋安-东浦新村4号楼C-HRHH-513，电子下倾角=6，基站标识=2143919</x:t>
  </x:si>
  <x:si>
    <x:t xml:space="preserve">单小区查CGI和站点名称</x:t>
  </x:si>
  <x:si>
    <x:t xml:space="preserve">找出深圳大梅沙D-HRH-1小区的CGI和站点名称。</x:t>
  </x:si>
  <x:si>
    <x:t xml:space="preserve">{
  "entityNames": [
    "深圳大梅沙D-HRH-1"
  ],
  "dataPath": null,
  "dimension": "CELL",
  "ratTypes": [],
  "fields": [
    "CGI",
    "站点名称"
  ],
  "filters": null
}</x:t>
  </x:si>
  <x:si>
    <x:t xml:space="preserve">深圳大梅沙D-HRH-1，CGI=460-00-12592429-1，站点名称=深圳大梅沙D-HRH</x:t>
  </x:si>
  <x:si>
    <x:t xml:space="preserve">单站点查方位角和移动网号</x:t>
  </x:si>
  <x:si>
    <x:t xml:space="preserve">帮我查一下深圳东华风车D-HRH站点下小区的方位角和移动网号。</x:t>
  </x:si>
  <x:si>
    <x:t xml:space="preserve">{
  "entityNames": [
    "深圳东华风车D-HRH"
  ],
  "dataPath": null,
  "dimension": "CELL",
  "ratTypes": [],
  "fields": [
    "方位角",
    "移动网号"
  ],
  "filters": null
}</x:t>
  </x:si>
  <x:si>
    <x:t xml:space="preserve">深圳东华风车D-HRH-1，方位角=170，移动网号='00</x:t>
  </x:si>
  <x:si>
    <x:t xml:space="preserve">帮我查一下深圳梅沙湾D-HRH-3和深圳梅沙湾二D-HRH-1这两个小区的方位角、电子下倾角以及设备厂商。</x:t>
  </x:si>
  <x:si>
    <x:t xml:space="preserve">{
  "entityNames": [
    "深圳梅沙湾D-HRH-3",
    "深圳梅沙湾二D-HRH-1"
  ],
  "dataPath": null,
  "dimension": "CELL",
  "ratTypes": [],
  "fields": [
    "方位角",
    "电子下倾角",
    "设备厂商"
  ],
  "filters": null
}</x:t>
  </x:si>
  <x:si>
    <x:t xml:space="preserve">深圳梅沙湾二D-HRH-1，方位角=110，电子下倾角=0，设备厂商=Huawei；深圳梅沙湾D-HRH-3，方位角=200，电子下倾角=0，设备厂商=Huawei</x:t>
  </x:si>
  <x:si>
    <x:t xml:space="preserve">看一下CBN-深圳大梅沙U-H5H和深圳大梅沙二D-HRH这两个站点下小区的纬度、机械下倾角和小区标识。</x:t>
  </x:si>
  <x:si>
    <x:t xml:space="preserve">{
  "entityNames": [
    "CBN-深圳大梅沙U-H5H",
    "深圳大梅沙二D-HRH"
  ],
  "dataPath": null,
  "dimension": "CELL",
  "ratTypes": [],
  "fields": [
    "纬度",
    "机械下倾角",
    "小区标识"
  ],
  "filters": null
}</x:t>
  </x:si>
  <x:si>
    <x:t xml:space="preserve">CBN-深圳大梅沙U-H5H-0711，纬度=22.6027，机械下倾角=8，小区标识=51；CBN-深圳大梅沙U-H5H-0712，纬度=22.6027，机械下倾角=8，小区标识=52；CBN-深圳大梅沙U-H5H-0713，纬度=22.6027，机械下倾角=6，小区标识=53；深圳大梅沙二D-HRH-3，纬度=22.5972，机械下倾角=10，小区标识=3；深圳大梅沙二D-HRH-2，纬度=22.5972，机械下倾角=10，小区标识=2；深圳大梅沙二[深圳大梅沙二D-HRH]C-HRH-3，纬度=22.597222，机械下倾角=10，小区标识=6；深圳大梅沙二[深圳大梅沙二D-HRH]C-HRH-2，纬度=22.597222，机械下倾角=10，小区标识=5；深圳大梅沙二[深圳大梅沙二D-HRH]C-HRH-1，纬度=22.597222，机械下倾角=10，小区标识=4</x:t>
  </x:si>
  <x:si>
    <x:t xml:space="preserve">三小区多字段查询</x:t>
  </x:si>
  <x:si>
    <x:t xml:space="preserve">对比一下CBN-福州仓山-福厦高铁鸡笼山隧道C-HRRH-513、CBN-福州仓山-火车南站东南美化塔C-HRHH-518和CBN-福州仓山-永南路与站后路交叉口C-HRHH-516这三个小区的基站标识、移动网号和天线高度。</x:t>
  </x:si>
  <x:si>
    <x:t xml:space="preserve">{
  "entityNames": [
    "CBN-福州仓山-福厦高铁鸡笼山隧道C-HRRH-513",
    "CBN-福州仓山-火车南站东南美化塔C-HRHH-518",
    "CBN-福州仓山-永南路与站后路交叉口C-HRHH-516"
  ],
  "dataPath": null,
  "dimension": "CELL",
  "ratTypes": [],
  "fields": [
    "基站标识",
    "移动网号",
    "天线高度"
  ],
  "filters": null
}</x:t>
  </x:si>
  <x:si>
    <x:t xml:space="preserve">CBN-福州仓山-火车南站东南美化塔C-HRHH-518，基站标识=2143544，移动网号='00，天线高度=25；CBN-福州仓山-福厦高铁鸡笼山隧道C-HRRH-513，基站标识=2161406，移动网号='00，天线高度=25；CBN-福州仓山-永南路与站后路交叉口C-HRHH-516，基站标识=2143544，移动网号='00，天线高度=25</x:t>
  </x:si>
  <x:si>
    <x:t xml:space="preserve">多小区双字段查询</x:t>
  </x:si>
  <x:si>
    <x:t xml:space="preserve">找出深圳东海岸三D-HRH-1和深圳奥特莱斯D-HRH-3小区的经度和站点名称。</x:t>
  </x:si>
  <x:si>
    <x:t xml:space="preserve">{
  "entityNames": [
    "深圳东海岸三D-HRH-1",
    "深圳奥特莱斯D-HRH-3"
  ],
  "dataPath": null,
  "dimension": "CELL",
  "ratTypes": [],
  "fields": [
    "经度",
    "站点名称"
  ],
  "filters": null
}</x:t>
  </x:si>
  <x:si>
    <x:t xml:space="preserve">深圳奥特莱斯D-HRH-3，经度=114.3048，站点名称=深圳奥特莱斯D-HRH；深圳东海岸三D-HRH-1，经度=114.2987，站点名称=深圳东海岸三D-HRH</x:t>
  </x:si>
  <x:si>
    <x:t xml:space="preserve">确认一下CBN-福州马尾-高铁鼓山1号隧道出口（左侧）C-HRRH和CBN-深圳东华风车U-H5H这两个站点下小区的方位角、电子下倾角和机械下倾角。</x:t>
  </x:si>
  <x:si>
    <x:t xml:space="preserve">{
  "entityNames": [
    "CBN-福州马尾-高铁鼓山1号隧道出口（左侧）C-HRRH",
    "CBN-深圳东华风车U-H5H"
  ],
  "dataPath": null,
  "dimension": "CELL",
  "ratTypes": [],
  "fields": [
    "方位角",
    "电子下倾角",
    "机械下倾角"
  ],
  "filters": null
}</x:t>
  </x:si>
  <x:si>
    <x:t xml:space="preserve">CBN-福州晋安-东浦新村4号楼C-HRHH-512，方位角=170，电子下倾角=6，机械下倾角=6；CBN-深圳东华风车U-H5H-0711，方位角=170，电子下倾角=2，机械下倾角=10</x:t>
  </x:si>
  <x:si>
    <x:t xml:space="preserve">帮我查一下深圳大梅沙D-HRH站点下5G小区的方位角和电子下倾角。</x:t>
  </x:si>
  <x:si>
    <x:t xml:space="preserve">{
  "entityNames": [
    "深圳大梅沙D-HRH"
  ],
  "dataPath": null,
  "dimension": "CELL",
  "ratTypes": [
    "NR"
  ],
  "fields": [
    "方位角",
    "电子下倾角"
  ],
  "filters": null
}</x:t>
  </x:si>
  <x:si>
    <x:t xml:space="preserve">深圳大梅沙D-HRH-3，方位角=240，电子下倾角=0；深圳大梅沙D-HRH-2，方位角=150，电子下倾角=0；深圳大梅沙D-HRH-1，方位角=0，电子下倾角=0</x:t>
  </x:si>
  <x:si>
    <x:t xml:space="preserve">看一下CBN-深圳梅沙湾U-H5H-0711这个NR小区的站点名称和纬度。</x:t>
  </x:si>
  <x:si>
    <x:t xml:space="preserve">{
  "entityNames": [
    "CBN-深圳梅沙湾U-H5H-0711"
  ],
  "dataPath": null,
  "dimension": "CELL",
  "ratTypes": [
    "NR"
  ],
  "fields": [
    "站点名称",
    "纬度"
  ],
  "filters": null
}</x:t>
  </x:si>
  <x:si>
    <x:t xml:space="preserve">CBN-深圳梅沙湾U-H5H-0711，站点名称=CBN-深圳梅沙湾U-H5H，纬度=22.5911</x:t>
  </x:si>
  <x:si>
    <x:t xml:space="preserve">多小区5G工参查询</x:t>
  </x:si>
  <x:si>
    <x:t xml:space="preserve">找出深圳奥特莱斯D-HRH-1和深圳奥特莱斯D-HRH-2这两个5G小区的经度和设备厂商。</x:t>
  </x:si>
  <x:si>
    <x:t xml:space="preserve">{
  "entityNames": [
    "深圳奥特莱斯D-HRH-1",
    "深圳奥特莱斯D-HRH-2"
  ],
  "dataPath": null,
  "dimension": "CELL",
  "ratTypes": [
    "NR"
  ],
  "fields": [
    "经度",
    "设备厂商"
  ],
  "filters": null
}</x:t>
  </x:si>
  <x:si>
    <x:t xml:space="preserve">深圳奥特莱斯D-HRH-2，经度=114.3048，设备厂商=Huawei；深圳奥特莱斯D-HRH-1，经度=114.3048，设备厂商=Huawei</x:t>
  </x:si>
  <x:si>
    <x:t xml:space="preserve">单站点NR工参查询</x:t>
  </x:si>
  <x:si>
    <x:t xml:space="preserve">确认一下CBN-福州仓山-福州南站火车南站西北美化塔C-HRRH站点下NR小区的移动国家码和小区名称。</x:t>
  </x:si>
  <x:si>
    <x:t xml:space="preserve">{
  "entityNames": [
    "CBN-福州仓山-福州南站火车南站西北美化塔C-HRRH"
  ],
  "dataPath": null,
  "dimension": "CELL",
  "ratTypes": [
    "NR"
  ],
  "fields": [
    "移动国家码",
    "小区名称"
  ],
  "filters": null
}</x:t>
  </x:si>
  <x:si>
    <x:t xml:space="preserve">CBN-福州仓山-福州南站火车南站西北美化塔C-HRRH-512，移动国家码=460，小区名称=CBN-福州仓山-福州南站火车南站西北美化塔C-HRRH-512</x:t>
  </x:si>
  <x:si>
    <x:t xml:space="preserve">帮我查一下深圳东海岸三D-HRH-1这个5G小区的方位角、电子下倾角和站点名称。</x:t>
  </x:si>
  <x:si>
    <x:t xml:space="preserve">{
  "entityNames": [
    "深圳东海岸三D-HRH-1"
  ],
  "dataPath": null,
  "dimension": "CELL",
  "ratTypes": [
    "NR"
  ],
  "fields": [
    "方位角",
    "电子下倾角",
    "站点名称"
  ],
  "filters": null
}</x:t>
  </x:si>
  <x:si>
    <x:t xml:space="preserve">深圳东海岸三D-HRH-1，方位角=5，电子下倾角=0，站点名称=深圳东海岸三D-HRH</x:t>
  </x:si>
  <x:si>
    <x:t xml:space="preserve">帮我查一下深圳大梅沙D-HRH站点下天线高度大于30米的小区，返回小区名称、天线高度和方位角。</x:t>
  </x:si>
  <x:si>
    <x:t xml:space="preserve">{
  "entityNames": [
    "深圳大梅沙D-HRH"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</x:si>
  <x:si>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找出深圳梅沙湾D-HRH-2和深圳大梅沙D-HRH-1这两个5G小区中，方位角在90到180度之间的，返回小区名称、方位角和经度。</x:t>
  </x:si>
  <x:si>
    <x:t xml:space="preserve">{
  "entityNames": [
    "深圳梅沙湾D-HRH-2",
    "深圳大梅沙D-HRH-1"
  ],
  "dataPath": null,
  "dimension": "CELL",
  "ratTypes": [
    "NR"
  ],
  "fields": [
    "小区名称",
    "方位角",
    "经度"
  ],
  "filters": {
    "and": [
      {
        "field": "方位角",
        "operator": "GE",
        "values": [
          "90"
        ]
      },
      {
        "field": "方位角",
        "operator": "LE",
        "values": [
          "180"
        ]
      }
    ]
  }
}</x:t>
  </x:si>
  <x:si>
    <x:t xml:space="preserve">看一下CBN-深圳梅沙湾U-H5H站点下机械下倾角等于6且电子下倾角不超过9的小区，返回小区名称、机械下倾角和电子下倾角。</x:t>
  </x:si>
  <x:si>
    <x:t xml:space="preserve">{
  "entityNames": [
    "CBN-深圳梅沙湾U-H5H"
  ],
  "dataPath": null,
  "dimension": "CELL",
  "ratTypes": [],
  "fields": [
    "小区名称",
    "机械下倾角",
    "电子下倾角"
  ],
  "filters": {
    "and": [
      {
        "field": "机械下倾角",
        "operator": "EQ",
        "values": [
          "6"
        ]
      },
      {
        "field": "电子下倾角",
        "operator": "LE",
        "values": [
          "9"
        ]
      }
    ]
  }
}</x:t>
  </x:si>
  <x:si>
    <x:t xml:space="preserve">单小区+IN条件过滤</x:t>
  </x:si>
  <x:si>
    <x:t xml:space="preserve">确认一下CBN-深圳东华风车U-H5H-0711这个小区，如果方位角是0或者180，返回它的基站标识、移动网号和方位角。</x:t>
  </x:si>
  <x:si>
    <x:t xml:space="preserve">{
  "entityNames": [
    "CBN-深圳东华风车U-H5H-0711"
  ],
  "dataPath": null,
  "dimension": "CELL",
  "ratTypes": [],
  "fields": [
    "基站标识",
    "移动网号",
    "方位角"
  ],
  "filters": {
    "and": [
      {
        "field": "方位角",
        "operator": "IN",
        "values": [
          "0",
          "180"
        ]
      }
    ]
  }
}</x:t>
  </x:si>
  <x:si>
    <x:t xml:space="preserve">多站点+NEQ条件过滤</x:t>
  </x:si>
  <x:si>
    <x:t xml:space="preserve">帮我筛一下CBN-福州仓山-福州南站火车南站西北美化塔C-HRRH和CBN-深圳天麓八区U-H5H这两个站点下，天线高度不等于20米的小区，返回小区名称、天线高度和纬度。</x:t>
  </x:si>
  <x:si>
    <x:t xml:space="preserve">{
  "entityNames": [
    "CBN-福州仓山-福州南站火车南站西北美化塔C-HRRH",
    "CBN-深圳天麓八区U-H5H"
  ],
  "dataPath": null,
  "dimension": "CELL",
  "ratTypes": [],
  "fields": [
    "小区名称",
    "天线高度",
    "纬度"
  ],
  "filters": {
    "and": [
      {
        "field": "天线高度",
        "operator": "NEQ",
        "values": [
          "20"
        ]
      }
    ]
  }
}</x:t>
  </x:si>
  <x:si>
    <x:t xml:space="preserve">CBN-福州仓山-福州南站火车南站西北美化塔C-HRRH-512，小区名称=CBN-福州仓山-福州南站火车南站西北美化塔C-HRRH-512，天线高度=25，纬度=26.043889；CBN-深圳东海岸三[CBN-深圳天麓八区U-H5H]U-H5H-0713，小区名称=CBN-深圳东海岸三[CBN-深圳天麓八区U-H5H]U-H5H-0713，天线高度=60，纬度=22.60748；CBN-深圳东海岸三[CBN-深圳天麓八区U-H5H]U-H5H-0712，小区名称=CBN-深圳东海岸三[CBN-深圳天麓八区U-H5H]U-H5H-0712，天线高度=60，纬度=22.60748；CBN-深圳东海岸三[CBN-深圳天麓八区U-H5H]U-H5H-0711，小区名称=CBN-深圳东海岸三[CBN-深圳天麓八区U-H5H]U-H5H-0711，天线高度=60，纬度=22.60748</x:t>
  </x:si>
</x:sst>
</file>

<file path=xl/styles.xml><?xml version="1.0" encoding="utf-8"?>
<x:styleSheet xmlns:x="http://schemas.openxmlformats.org/spreadsheetml/2006/main">
  <x:numFmts count="3">
    <x:numFmt numFmtId="200" formatCode="#,##0.0"/>
    <x:numFmt numFmtId="201" formatCode="0"/>
    <x:numFmt numFmtId="202" formatCode="#,##0"/>
  </x:numFmts>
  <x:fonts count="5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  <x:font>
      <x:b/>
      <x:sz val="11"/>
      <x:color rgb="FFFFFFFF"/>
      <x:name val="宋体"/>
    </x:font>
    <x:font>
      <x:b/>
      <x:sz val="16"/>
      <x:color rgb="FFFFFFFF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17365D"/>
      </x:left>
      <x:right style="thin">
        <x:color auto="1"/>
      </x:right>
      <x:top style="thin">
        <x:color rgb="FF17365D"/>
      </x:top>
      <x:bottom style="thin">
        <x:color rgb="FF17365D"/>
      </x:bottom>
    </x:border>
    <x:border>
      <x:left style="thin">
        <x:color auto="1"/>
      </x:left>
      <x:right style="thin">
        <x:color auto="1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bottom style="thin">
        <x:color rgb="FFE2F0D9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0" xfId="0" applyAlignment="1"/>
    <x:xf numFmtId="0" fontId="1" fillId="0" borderId="1" xfId="0" applyFont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center" vertical="top"/>
    </x:xf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6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6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6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0" xfId="0" applyNumberFormat="1" applyFont="1" applyFill="1" applyBorder="1"/>
    <x:xf numFmtId="200" fontId="0" fillId="0" borderId="6" xfId="0" applyNumberFormat="1" applyFont="1" applyFill="1" applyBorder="1"/>
    <x:xf numFmtId="202" fontId="0" fillId="0" borderId="0" xfId="0" applyNumberFormat="1" applyFont="1" applyFill="1" applyBorder="1"/>
    <x:xf numFmtId="202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常规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71fc881a64b76" /><Relationship Type="http://schemas.openxmlformats.org/officeDocument/2006/relationships/theme" Target="/xl/theme/theme1.xml" Id="Re667970772d04031" /><Relationship Type="http://schemas.openxmlformats.org/officeDocument/2006/relationships/sharedStrings" Target="/xl/sharedStrings.xml" Id="Rc9b393cd6fba43d1" /><Relationship Type="http://schemas.openxmlformats.org/officeDocument/2006/relationships/worksheet" Target="/xl/worksheets/sheet1.xml" Id="Rb9b5974e8a034bb0" /><Relationship Type="http://schemas.openxmlformats.org/officeDocument/2006/relationships/worksheet" Target="/xl/worksheets/sheet2.xml" Id="R59b7334fc18444f3" /><Relationship Type="http://schemas.openxmlformats.org/officeDocument/2006/relationships/worksheet" Target="/xl/worksheets/sheet3.xml" Id="R941d2c7e3ab14f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75" defaultRowHeight="13.5"/>
  <x:cols>
    <x:col min="1" max="1" width="10" style="1" hidden="0" customWidth="1"/>
    <x:col min="2" max="2" width="20" style="1" hidden="0" customWidth="1"/>
    <x:col min="3" max="3" width="48" style="1" hidden="0" customWidth="1"/>
    <x:col min="4" max="4" width="24" style="1" hidden="0" customWidth="1"/>
    <x:col min="5" max="5" width="24" style="1" hidden="0" customWidth="1"/>
    <x:col min="6" max="16384" width="8.75" style="1" customWidth="0"/>
    <x:col min="6" max="6" width="10" hidden="0" customWidth="1"/>
    <x:col min="7" max="7" width="4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6" hidden="0" customWidth="1"/>
    <x:col min="43" max="43" width="16" hidden="0" customWidth="1"/>
    <x:col min="44" max="44" width="34" hidden="0" customWidth="1"/>
  </x:cols>
  <x:sheetData>
    <x:row r="1" ht="42" customHeight="1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9" t="str">
        <x:v>问题编号</x:v>
      </x:c>
      <x:c r="G1" s="19" t="str">
        <x:v>转换后问题（Workflow inputText/query）</x:v>
      </x:c>
      <x:c r="H1" s="19" t="str">
        <x:v>AICO Skill 第1次(ms)</x:v>
      </x:c>
      <x:c r="I1" s="19" t="str">
        <x:v>AICO Workflow 第1次(ms)</x:v>
      </x:c>
      <x:c r="J1" s="19" t="str">
        <x:v>AICO Workflow 第2次(ms)</x:v>
      </x:c>
      <x:c r="K1" s="19" t="str">
        <x:v>AICO Workflow 第3次(ms)</x:v>
      </x:c>
      <x:c r="L1" s="19" t="str">
        <x:v>Recipe DeepSeek 第1次(ms)</x:v>
      </x:c>
      <x:c r="M1" s="19" t="str">
        <x:v>Recipe DeepSeek 第2次(ms)</x:v>
      </x:c>
      <x:c r="N1" s="19" t="str">
        <x:v>Recipe DeepSeek 第3次(ms)</x:v>
      </x:c>
      <x:c r="O1" s="19" t="str">
        <x:v>Recipe DeepSeek 第4次(ms)</x:v>
      </x:c>
      <x:c r="P1" s="19" t="str">
        <x:v>Recipe DeepSeek 第5次(ms)</x:v>
      </x:c>
      <x:c r="Q1" s="19" t="str">
        <x:v>Recipe DeepSeek 第6次(ms)</x:v>
      </x:c>
      <x:c r="R1" s="19" t="str">
        <x:v>Recipe DeepSeek 第7次(ms)</x:v>
      </x:c>
      <x:c r="S1" s="19" t="str">
        <x:v>Recipe DeepSeek 第8次(ms)</x:v>
      </x:c>
      <x:c r="T1" s="19" t="str">
        <x:v>Recipe Qwen执行 第1次(ms)</x:v>
      </x:c>
      <x:c r="U1" s="19" t="str">
        <x:v>Recipe Qwen执行 第2次(ms)</x:v>
      </x:c>
      <x:c r="V1" s="19" t="str">
        <x:v>Recipe Qwen执行 第3次(ms)</x:v>
      </x:c>
      <x:c r="W1" s="19" t="str">
        <x:v>Recipe Qwen执行 第4次(ms)</x:v>
      </x:c>
      <x:c r="X1" s="19" t="str">
        <x:v>Recipe Qwen执行 第5次(ms)</x:v>
      </x:c>
      <x:c r="Y1" s="19" t="str">
        <x:v>Recipe Qwen执行 第6次(ms)</x:v>
      </x:c>
      <x:c r="Z1" s="19" t="str">
        <x:v>Recipe Qwen执行 第7次(ms)</x:v>
      </x:c>
      <x:c r="AA1" s="19" t="str">
        <x:v>Recipe Qwen执行 第8次(ms)</x:v>
      </x:c>
      <x:c r="AB1" s="19" t="str">
        <x:v>Recipe Qwen总结 第1次(ms)</x:v>
      </x:c>
      <x:c r="AC1" s="19" t="str">
        <x:v>AICO总结 第1次(ms)</x:v>
      </x:c>
      <x:c r="AD1" s="19" t="str">
        <x:v>问题推荐 第1次(ms)</x:v>
      </x:c>
      <x:c r="AE1" s="19" t="str">
        <x:v>AICO其他工具 第1次(ms)</x:v>
      </x:c>
      <x:c r="AF1" s="19" t="str">
        <x:v>AICO其他工具 第2次(ms)</x:v>
      </x:c>
      <x:c r="AG1" s="19" t="str">
        <x:v>AICO其他工具 第3次(ms)</x:v>
      </x:c>
      <x:c r="AH1" s="19" t="str">
        <x:v>AICO其他工具 第4次(ms)</x:v>
      </x:c>
      <x:c r="AI1" s="19" t="str">
        <x:v>AICO其他工具 第5次(ms)</x:v>
      </x:c>
      <x:c r="AJ1" s="19" t="str">
        <x:v>AICO其他工具 第6次(ms)</x:v>
      </x:c>
      <x:c r="AK1" s="19" t="str">
        <x:v>AICO其他工具 第7次(ms)</x:v>
      </x:c>
      <x:c r="AL1" s="19" t="str">
        <x:v>AICO其他工具 第8次(ms)</x:v>
      </x:c>
      <x:c r="AM1" s="19" t="str">
        <x:v>AICO其他工具 第9次(ms)</x:v>
      </x:c>
      <x:c r="AN1" s="19" t="str">
        <x:v>AICO错误/失败 第1次(ms)</x:v>
      </x:c>
      <x:c r="AO1" s="19" t="str">
        <x:v>AICO错误/失败 第2次(ms)</x:v>
      </x:c>
      <x:c r="AP1" s="19" t="str">
        <x:v>模型调用总时延(ms)</x:v>
      </x:c>
      <x:c r="AQ1" s="19" t="str">
        <x:v>模型调用次数</x:v>
      </x:c>
      <x:c r="AR1" s="20" t="str">
        <x:v>流程完整性</x:v>
      </x:c>
    </x:row>
    <x:row r="2" ht="42" customHeight="1">
      <x:c r="A2" s="23" t="s">
        <x:v>5</x:v>
      </x:c>
      <x:c r="B2" s="23" t="s">
        <x:v>6</x:v>
      </x:c>
      <x:c r="C2" s="23" t="s">
        <x:v>7</x:v>
      </x:c>
      <x:c r="D2" s="25" t="s">
        <x:v>8</x:v>
      </x:c>
      <x:c r="E2" s="25" t="s">
        <x:v>9</x:v>
      </x:c>
      <x:c r="F2" s="29" t="n">
        <x:v>1</x:v>
      </x:c>
      <x:c r="G2" s="23" t="str">
        <x:v>查询深圳大梅沙D-HRH-2小区的经度、纬度和方位角</x:v>
      </x:c>
      <x:c r="H2" s="27" t="n">
        <x:v>4744.913</x:v>
      </x:c>
      <x:c r="I2" s="27" t="n">
        <x:v>7717.836</x:v>
      </x:c>
      <x:c r="J2" s="27"/>
      <x:c r="K2" s="27"/>
      <x:c r="L2" s="27" t="n">
        <x:v>3080.97</x:v>
      </x:c>
      <x:c r="M2" s="27"/>
      <x:c r="N2" s="27"/>
      <x:c r="O2" s="27"/>
      <x:c r="P2" s="27"/>
      <x:c r="Q2" s="27"/>
      <x:c r="R2" s="27"/>
      <x:c r="S2" s="27"/>
      <x:c r="T2" s="27" t="n">
        <x:v>1313.32</x:v>
      </x:c>
      <x:c r="U2" s="27"/>
      <x:c r="V2" s="27"/>
      <x:c r="W2" s="27"/>
      <x:c r="X2" s="27"/>
      <x:c r="Y2" s="27"/>
      <x:c r="Z2" s="27"/>
      <x:c r="AA2" s="27"/>
      <x:c r="AB2" s="27" t="n">
        <x:v>1439.374</x:v>
      </x:c>
      <x:c r="AC2" s="27" t="n">
        <x:v>7069.81</x:v>
      </x:c>
      <x:c r="AD2" s="27" t="n">
        <x:v>5246.118</x:v>
      </x:c>
      <x:c r="AE2" s="27"/>
      <x:c r="AF2" s="27"/>
      <x:c r="AG2" s="27"/>
      <x:c r="AH2" s="27"/>
      <x:c r="AI2" s="27"/>
      <x:c r="AJ2" s="27"/>
      <x:c r="AK2" s="27"/>
      <x:c r="AL2" s="27"/>
      <x:c r="AM2" s="27"/>
      <x:c r="AN2" s="27" t="n">
        <x:v>69.131</x:v>
      </x:c>
      <x:c r="AO2" s="27" t="n">
        <x:v>69.309</x:v>
      </x:c>
      <x:c r="AP2" s="27" t="n">
        <x:f>SUMIF('调用明细'!$A$2:$A$498,F2,'调用明细'!$H$2:$H$498)</x:f>
        <x:v>30750.781000000003</x:v>
      </x:c>
      <x:c r="AQ2" s="27" t="n">
        <x:f>COUNTIF('调用明细'!$A$2:$A$498,F2)</x:f>
        <x:v>9</x:v>
      </x:c>
      <x:c r="AR2" s="23" t="str">
        <x:v>完整</x:v>
      </x:c>
    </x:row>
    <x:row r="3" ht="42" customHeight="1">
      <x:c r="A3" s="23" t="s">
        <x:v>5</x:v>
      </x:c>
      <x:c r="B3" s="23" t="s">
        <x:v>10</x:v>
      </x:c>
      <x:c r="C3" s="23" t="s">
        <x:v>11</x:v>
      </x:c>
      <x:c r="D3" s="25" t="s">
        <x:v>12</x:v>
      </x:c>
      <x:c r="E3" s="25" t="s">
        <x:v>13</x:v>
      </x:c>
      <x:c r="F3" s="29" t="n">
        <x:v>2</x:v>
      </x:c>
      <x:c r="G3" s="23" t="str">
        <x:v>查询CBN-深圳天麓八区U-H5H站点下所有小区的天线高度和机械下倾角</x:v>
      </x:c>
      <x:c r="H3" s="27" t="n">
        <x:v>5605.679</x:v>
      </x:c>
      <x:c r="I3" s="27" t="n">
        <x:v>5233.171</x:v>
      </x:c>
      <x:c r="J3" s="27"/>
      <x:c r="K3" s="27"/>
      <x:c r="L3" s="27" t="n">
        <x:v>3353.376</x:v>
      </x:c>
      <x:c r="M3" s="27"/>
      <x:c r="N3" s="27"/>
      <x:c r="O3" s="27"/>
      <x:c r="P3" s="27"/>
      <x:c r="Q3" s="27"/>
      <x:c r="R3" s="27"/>
      <x:c r="S3" s="27"/>
      <x:c r="T3" s="27" t="n">
        <x:v>1251.792</x:v>
      </x:c>
      <x:c r="U3" s="27"/>
      <x:c r="V3" s="27"/>
      <x:c r="W3" s="27"/>
      <x:c r="X3" s="27"/>
      <x:c r="Y3" s="27"/>
      <x:c r="Z3" s="27"/>
      <x:c r="AA3" s="27"/>
      <x:c r="AB3" s="27" t="n">
        <x:v>1454.642</x:v>
      </x:c>
      <x:c r="AC3" s="27" t="n">
        <x:v>7640.312</x:v>
      </x:c>
      <x:c r="AD3" s="27" t="n">
        <x:v>5691.532</x:v>
      </x:c>
      <x:c r="AE3" s="27"/>
      <x:c r="AF3" s="27"/>
      <x:c r="AG3" s="27"/>
      <x:c r="AH3" s="27"/>
      <x:c r="AI3" s="27"/>
      <x:c r="AJ3" s="27"/>
      <x:c r="AK3" s="27"/>
      <x:c r="AL3" s="27"/>
      <x:c r="AM3" s="27"/>
      <x:c r="AN3" s="27" t="n">
        <x:v>67.541</x:v>
      </x:c>
      <x:c r="AO3" s="27" t="n">
        <x:v>67.419</x:v>
      </x:c>
      <x:c r="AP3" s="27" t="n">
        <x:f>SUMIF('调用明细'!$A$2:$A$498,F3,'调用明细'!$H$2:$H$498)</x:f>
        <x:v>30365.464</x:v>
      </x:c>
      <x:c r="AQ3" s="27" t="n">
        <x:f>COUNTIF('调用明细'!$A$2:$A$498,F3)</x:f>
        <x:v>9</x:v>
      </x:c>
      <x:c r="AR3" s="23" t="str">
        <x:v>完整</x:v>
      </x:c>
    </x:row>
    <x:row r="4" ht="42" customHeight="1">
      <x:c r="A4" s="23" t="s">
        <x:v>5</x:v>
      </x:c>
      <x:c r="B4" s="23" t="s">
        <x:v>14</x:v>
      </x:c>
      <x:c r="C4" s="23" t="s">
        <x:v>15</x:v>
      </x:c>
      <x:c r="D4" s="25" t="s">
        <x:v>16</x:v>
      </x:c>
      <x:c r="E4" s="25" t="s">
        <x:v>17</x:v>
      </x:c>
      <x:c r="F4" s="29" t="n">
        <x:v>3</x:v>
      </x:c>
      <x:c r="G4" s="23" t="str">
        <x:v>查询小区CBN-福州仓山-火车南站西广场南侧高架桥旁C-HRHH-512的小区标识和基站标识</x:v>
      </x:c>
      <x:c r="H4" s="27" t="n">
        <x:v>5857.95</x:v>
      </x:c>
      <x:c r="I4" s="27" t="n">
        <x:v>5434.837</x:v>
      </x:c>
      <x:c r="J4" s="27"/>
      <x:c r="K4" s="27"/>
      <x:c r="L4" s="27" t="n">
        <x:v>3668.203</x:v>
      </x:c>
      <x:c r="M4" s="27"/>
      <x:c r="N4" s="27"/>
      <x:c r="O4" s="27"/>
      <x:c r="P4" s="27"/>
      <x:c r="Q4" s="27"/>
      <x:c r="R4" s="27"/>
      <x:c r="S4" s="27"/>
      <x:c r="T4" s="27" t="n">
        <x:v>1313.904</x:v>
      </x:c>
      <x:c r="U4" s="27"/>
      <x:c r="V4" s="27"/>
      <x:c r="W4" s="27"/>
      <x:c r="X4" s="27"/>
      <x:c r="Y4" s="27"/>
      <x:c r="Z4" s="27"/>
      <x:c r="AA4" s="27"/>
      <x:c r="AB4" s="27" t="n">
        <x:v>1599.562</x:v>
      </x:c>
      <x:c r="AC4" s="27" t="n">
        <x:v>7485.215</x:v>
      </x:c>
      <x:c r="AD4" s="27" t="n">
        <x:v>8655.136</x:v>
      </x:c>
      <x:c r="AE4" s="27"/>
      <x:c r="AF4" s="27"/>
      <x:c r="AG4" s="27"/>
      <x:c r="AH4" s="27"/>
      <x:c r="AI4" s="27"/>
      <x:c r="AJ4" s="27"/>
      <x:c r="AK4" s="27"/>
      <x:c r="AL4" s="27"/>
      <x:c r="AM4" s="27"/>
      <x:c r="AN4" s="27" t="n">
        <x:v>67.26</x:v>
      </x:c>
      <x:c r="AO4" s="27" t="n">
        <x:v>67.053</x:v>
      </x:c>
      <x:c r="AP4" s="27" t="n">
        <x:f>SUMIF('调用明细'!$A$2:$A$498,F4,'调用明细'!$H$2:$H$498)</x:f>
        <x:v>34149.12</x:v>
      </x:c>
      <x:c r="AQ4" s="27" t="n">
        <x:f>COUNTIF('调用明细'!$A$2:$A$498,F4)</x:f>
        <x:v>9</x:v>
      </x:c>
      <x:c r="AR4" s="23" t="str">
        <x:v>完整</x:v>
      </x:c>
    </x:row>
    <x:row r="5" ht="42" customHeight="1">
      <x:c r="A5" s="23" t="s">
        <x:v>5</x:v>
      </x:c>
      <x:c r="B5" s="23" t="s">
        <x:v>18</x:v>
      </x:c>
      <x:c r="C5" s="23" t="s">
        <x:v>19</x:v>
      </x:c>
      <x:c r="D5" s="25" t="s">
        <x:v>20</x:v>
      </x:c>
      <x:c r="E5" s="25" t="s">
        <x:v>21</x:v>
      </x:c>
      <x:c r="F5" s="29" t="n">
        <x:v>4</x:v>
      </x:c>
      <x:c r="G5" s="23" t="str">
        <x:v>查询深圳梅沙湾二D-HRH-3小区的方向角</x:v>
      </x:c>
      <x:c r="H5" s="27" t="n">
        <x:v>8433.411</x:v>
      </x:c>
      <x:c r="I5" s="27" t="n">
        <x:v>5027.324</x:v>
      </x:c>
      <x:c r="J5" s="27"/>
      <x:c r="K5" s="27"/>
      <x:c r="L5" s="27" t="n">
        <x:v>2790.416</x:v>
      </x:c>
      <x:c r="M5" s="27"/>
      <x:c r="N5" s="27"/>
      <x:c r="O5" s="27"/>
      <x:c r="P5" s="27"/>
      <x:c r="Q5" s="27"/>
      <x:c r="R5" s="27"/>
      <x:c r="S5" s="27"/>
      <x:c r="T5" s="27" t="n">
        <x:v>1184.913</x:v>
      </x:c>
      <x:c r="U5" s="27"/>
      <x:c r="V5" s="27"/>
      <x:c r="W5" s="27"/>
      <x:c r="X5" s="27"/>
      <x:c r="Y5" s="27"/>
      <x:c r="Z5" s="27"/>
      <x:c r="AA5" s="27"/>
      <x:c r="AB5" s="27" t="n">
        <x:v>1297.238</x:v>
      </x:c>
      <x:c r="AC5" s="27" t="n">
        <x:v>6572.933</x:v>
      </x:c>
      <x:c r="AD5" s="27" t="n">
        <x:v>8152.206</x:v>
      </x:c>
      <x:c r="AE5" s="27"/>
      <x:c r="AF5" s="27"/>
      <x:c r="AG5" s="27"/>
      <x:c r="AH5" s="27"/>
      <x:c r="AI5" s="27"/>
      <x:c r="AJ5" s="27"/>
      <x:c r="AK5" s="27"/>
      <x:c r="AL5" s="27"/>
      <x:c r="AM5" s="27"/>
      <x:c r="AN5" s="27" t="n">
        <x:v>67.216</x:v>
      </x:c>
      <x:c r="AO5" s="27" t="n">
        <x:v>67.258</x:v>
      </x:c>
      <x:c r="AP5" s="27" t="n">
        <x:f>SUMIF('调用明细'!$A$2:$A$498,F5,'调用明细'!$H$2:$H$498)</x:f>
        <x:v>33592.915</x:v>
      </x:c>
      <x:c r="AQ5" s="27" t="n">
        <x:f>COUNTIF('调用明细'!$A$2:$A$498,F5)</x:f>
        <x:v>9</x:v>
      </x:c>
      <x:c r="AR5" s="23" t="str">
        <x:v>完整</x:v>
      </x:c>
    </x:row>
    <x:row r="6" ht="42" customHeight="1">
      <x:c r="A6" s="23" t="s">
        <x:v>5</x:v>
      </x:c>
      <x:c r="B6" s="23" t="s">
        <x:v>22</x:v>
      </x:c>
      <x:c r="C6" s="23" t="s">
        <x:v>23</x:v>
      </x:c>
      <x:c r="D6" s="25" t="s">
        <x:v>24</x:v>
      </x:c>
      <x:c r="E6" s="25" t="s">
        <x:v>25</x:v>
      </x:c>
      <x:c r="F6" s="29" t="n">
        <x:v>5</x:v>
      </x:c>
      <x:c r="G6" s="23" t="str">
        <x:v>查询站点 CBN-福州晋安-高铁鼓山1号隧道洞室1C-HRRH 下所有小区的经度和纬度（工程参数）</x:v>
      </x:c>
      <x:c r="H6" s="27" t="n">
        <x:v>8148.953</x:v>
      </x:c>
      <x:c r="I6" s="27" t="n">
        <x:v>5138.994</x:v>
      </x:c>
      <x:c r="J6" s="27"/>
      <x:c r="K6" s="27"/>
      <x:c r="L6" s="27" t="n">
        <x:v>3580.848</x:v>
      </x:c>
      <x:c r="M6" s="27"/>
      <x:c r="N6" s="27"/>
      <x:c r="O6" s="27"/>
      <x:c r="P6" s="27"/>
      <x:c r="Q6" s="27"/>
      <x:c r="R6" s="27"/>
      <x:c r="S6" s="27"/>
      <x:c r="T6" s="27" t="n">
        <x:v>1273.478</x:v>
      </x:c>
      <x:c r="U6" s="27"/>
      <x:c r="V6" s="27"/>
      <x:c r="W6" s="27"/>
      <x:c r="X6" s="27"/>
      <x:c r="Y6" s="27"/>
      <x:c r="Z6" s="27"/>
      <x:c r="AA6" s="27"/>
      <x:c r="AB6" s="27" t="n">
        <x:v>1720.292</x:v>
      </x:c>
      <x:c r="AC6" s="27" t="n">
        <x:v>5094.166</x:v>
      </x:c>
      <x:c r="AD6" s="27" t="n">
        <x:v>7732.793</x:v>
      </x:c>
      <x:c r="AE6" s="27"/>
      <x:c r="AF6" s="27"/>
      <x:c r="AG6" s="27"/>
      <x:c r="AH6" s="27"/>
      <x:c r="AI6" s="27"/>
      <x:c r="AJ6" s="27"/>
      <x:c r="AK6" s="27"/>
      <x:c r="AL6" s="27"/>
      <x:c r="AM6" s="27"/>
      <x:c r="AN6" s="27" t="n">
        <x:v>67.192</x:v>
      </x:c>
      <x:c r="AO6" s="27" t="n">
        <x:v>67.508</x:v>
      </x:c>
      <x:c r="AP6" s="27" t="n">
        <x:f>SUMIF('调用明细'!$A$2:$A$498,F6,'调用明细'!$H$2:$H$498)</x:f>
        <x:v>32824.224</x:v>
      </x:c>
      <x:c r="AQ6" s="27" t="n">
        <x:f>COUNTIF('调用明细'!$A$2:$A$498,F6)</x:f>
        <x:v>9</x:v>
      </x:c>
      <x:c r="AR6" s="23" t="str">
        <x:v>完整</x:v>
      </x:c>
    </x:row>
    <x:row r="7" ht="42" customHeight="1">
      <x:c r="A7" s="23" t="s">
        <x:v>26</x:v>
      </x:c>
      <x:c r="B7" s="23" t="s">
        <x:v>27</x:v>
      </x:c>
      <x:c r="C7" s="23" t="s">
        <x:v>28</x:v>
      </x:c>
      <x:c r="D7" s="25" t="s">
        <x:v>29</x:v>
      </x:c>
      <x:c r="E7" s="25" t="s">
        <x:v>30</x:v>
      </x:c>
      <x:c r="F7" s="29" t="n">
        <x:v>6</x:v>
      </x:c>
      <x:c r="G7" s="23" t="str">
        <x:v>查询小区 CBN-福州晋安-福厦高铁苔井山隧道入口（左侧）C-HRRH-513 和 CBN-福州仓山-福厦高铁鸡笼山隧道C-HRRH-513 的方位角、电子下倾角和机械下倾角</x:v>
      </x:c>
      <x:c r="H7" s="27" t="n">
        <x:v>8772.914</x:v>
      </x:c>
      <x:c r="I7" s="27" t="n">
        <x:v>6383.248</x:v>
      </x:c>
      <x:c r="J7" s="27"/>
      <x:c r="K7" s="27"/>
      <x:c r="L7" s="27" t="n">
        <x:v>4650.536</x:v>
      </x:c>
      <x:c r="M7" s="27"/>
      <x:c r="N7" s="27"/>
      <x:c r="O7" s="27"/>
      <x:c r="P7" s="27"/>
      <x:c r="Q7" s="27"/>
      <x:c r="R7" s="27"/>
      <x:c r="S7" s="27"/>
      <x:c r="T7" s="27" t="n">
        <x:v>1830.513</x:v>
      </x:c>
      <x:c r="U7" s="27"/>
      <x:c r="V7" s="27"/>
      <x:c r="W7" s="27"/>
      <x:c r="X7" s="27"/>
      <x:c r="Y7" s="27"/>
      <x:c r="Z7" s="27"/>
      <x:c r="AA7" s="27"/>
      <x:c r="AB7" s="27" t="n">
        <x:v>2113.816</x:v>
      </x:c>
      <x:c r="AC7" s="27" t="n">
        <x:v>7054.339</x:v>
      </x:c>
      <x:c r="AD7" s="27" t="n">
        <x:v>5081.464</x:v>
      </x:c>
      <x:c r="AE7" s="27"/>
      <x:c r="AF7" s="27"/>
      <x:c r="AG7" s="27"/>
      <x:c r="AH7" s="27"/>
      <x:c r="AI7" s="27"/>
      <x:c r="AJ7" s="27"/>
      <x:c r="AK7" s="27"/>
      <x:c r="AL7" s="27"/>
      <x:c r="AM7" s="27"/>
      <x:c r="AN7" s="27" t="n">
        <x:v>67.267</x:v>
      </x:c>
      <x:c r="AO7" s="27" t="n">
        <x:v>67.27</x:v>
      </x:c>
      <x:c r="AP7" s="27" t="n">
        <x:f>SUMIF('调用明细'!$A$2:$A$498,F7,'调用明细'!$H$2:$H$498)</x:f>
        <x:v>36021.367</x:v>
      </x:c>
      <x:c r="AQ7" s="27" t="n">
        <x:f>COUNTIF('调用明细'!$A$2:$A$498,F7)</x:f>
        <x:v>9</x:v>
      </x:c>
      <x:c r="AR7" s="23" t="str">
        <x:v>完整</x:v>
      </x:c>
    </x:row>
    <x:row r="8" ht="42" customHeight="1">
      <x:c r="A8" s="23" t="s">
        <x:v>26</x:v>
      </x:c>
      <x:c r="B8" s="23" t="s">
        <x:v>31</x:v>
      </x:c>
      <x:c r="C8" s="23" t="s">
        <x:v>32</x:v>
      </x:c>
      <x:c r="D8" s="25" t="s">
        <x:v>33</x:v>
      </x:c>
      <x:c r="E8" s="25" t="s">
        <x:v>34</x:v>
      </x:c>
      <x:c r="F8" s="29" t="n">
        <x:v>7</x:v>
      </x:c>
      <x:c r="G8" s="23" t="str">
        <x:v>查询深圳东华风车D-HRH和CBN-深圳上威梅沙二U-H5H这两个站点下所有小区的基站标识、纬度和设备厂商</x:v>
      </x:c>
      <x:c r="H8" s="27" t="n">
        <x:v>5920.975</x:v>
      </x:c>
      <x:c r="I8" s="27" t="n">
        <x:v>5678.752</x:v>
      </x:c>
      <x:c r="J8" s="27" t="n">
        <x:v>6042.472</x:v>
      </x:c>
      <x:c r="K8" s="27" t="n">
        <x:v>7065.546</x:v>
      </x:c>
      <x:c r="L8" s="27" t="n">
        <x:v>3815.34</x:v>
      </x:c>
      <x:c r="M8" s="27" t="n">
        <x:v>3524.573</x:v>
      </x:c>
      <x:c r="N8" s="27" t="n">
        <x:v>3601.301</x:v>
      </x:c>
      <x:c r="O8" s="27"/>
      <x:c r="P8" s="27"/>
      <x:c r="Q8" s="27"/>
      <x:c r="R8" s="27"/>
      <x:c r="S8" s="27"/>
      <x:c r="T8" s="27" t="n">
        <x:v>1325.668</x:v>
      </x:c>
      <x:c r="U8" s="27" t="n">
        <x:v>1625.329</x:v>
      </x:c>
      <x:c r="V8" s="27" t="n">
        <x:v>1622.008</x:v>
      </x:c>
      <x:c r="W8" s="27" t="n">
        <x:v>1888.082</x:v>
      </x:c>
      <x:c r="X8" s="27" t="n">
        <x:v>1308.78</x:v>
      </x:c>
      <x:c r="Y8" s="27" t="n">
        <x:v>2049.928</x:v>
      </x:c>
      <x:c r="Z8" s="27" t="n">
        <x:v>1309.952</x:v>
      </x:c>
      <x:c r="AA8" s="27"/>
      <x:c r="AB8" s="27" t="n">
        <x:v>2821.038</x:v>
      </x:c>
      <x:c r="AC8" s="27" t="n">
        <x:v>8449.742</x:v>
      </x:c>
      <x:c r="AD8" s="27" t="n">
        <x:v>5190.647</x:v>
      </x:c>
      <x:c r="AE8" s="27" t="n">
        <x:v>5040.111</x:v>
      </x:c>
      <x:c r="AF8" s="27" t="n">
        <x:v>4477.528</x:v>
      </x:c>
      <x:c r="AG8" s="27" t="n">
        <x:v>5573.056</x:v>
      </x:c>
      <x:c r="AH8" s="27" t="n">
        <x:v>5490.841</x:v>
      </x:c>
      <x:c r="AI8" s="27" t="n">
        <x:v>5163.466</x:v>
      </x:c>
      <x:c r="AJ8" s="27" t="n">
        <x:v>5273.073</x:v>
      </x:c>
      <x:c r="AK8" s="27" t="n">
        <x:v>5189.516</x:v>
      </x:c>
      <x:c r="AL8" s="27" t="n">
        <x:v>7208.954</x:v>
      </x:c>
      <x:c r="AM8" s="27" t="n">
        <x:v>6130.668</x:v>
      </x:c>
      <x:c r="AN8" s="27" t="n">
        <x:v>66.976</x:v>
      </x:c>
      <x:c r="AO8" s="27" t="n">
        <x:v>67.189</x:v>
      </x:c>
      <x:c r="AP8" s="27" t="n">
        <x:f>SUMIF('调用明细'!$A$2:$A$498,F8,'调用明细'!$H$2:$H$498)</x:f>
        <x:v>112921.51100000001</x:v>
      </x:c>
      <x:c r="AQ8" s="27" t="n">
        <x:f>COUNTIF('调用明细'!$A$2:$A$498,F8)</x:f>
        <x:v>28</x:v>
      </x:c>
      <x:c r="AR8" s="23" t="str">
        <x:v>完整</x:v>
      </x:c>
    </x:row>
    <x:row r="9" ht="42" customHeight="1">
      <x:c r="A9" s="23" t="s">
        <x:v>26</x:v>
      </x:c>
      <x:c r="B9" s="23" t="s">
        <x:v>27</x:v>
      </x:c>
      <x:c r="C9" s="23" t="s">
        <x:v>35</x:v>
      </x:c>
      <x:c r="D9" s="25" t="s">
        <x:v>36</x:v>
      </x:c>
      <x:c r="E9" s="25" t="s">
        <x:v>37</x:v>
      </x:c>
      <x:c r="F9" s="29" t="n">
        <x:v>8</x:v>
      </x:c>
      <x:c r="G9" s="23" t="str">
        <x:v>查询小区CBN-深圳梅沙湾U-H5H-0712、CBN-深圳梅沙湾U-H5H-0711和CBN-深圳东海岸三[CBN-深圳天麓八区U-H5H]U-H5H-0711的移动国家码、方向角和天线高度</x:v>
      </x:c>
      <x:c r="H9" s="27" t="n">
        <x:v>6753.836</x:v>
      </x:c>
      <x:c r="I9" s="27" t="n">
        <x:v>9053.652</x:v>
      </x:c>
      <x:c r="J9" s="27"/>
      <x:c r="K9" s="27"/>
      <x:c r="L9" s="27" t="n">
        <x:v>4680.569</x:v>
      </x:c>
      <x:c r="M9" s="27"/>
      <x:c r="N9" s="27"/>
      <x:c r="O9" s="27"/>
      <x:c r="P9" s="27"/>
      <x:c r="Q9" s="27"/>
      <x:c r="R9" s="27"/>
      <x:c r="S9" s="27"/>
      <x:c r="T9" s="27" t="n">
        <x:v>1882.456</x:v>
      </x:c>
      <x:c r="U9" s="27"/>
      <x:c r="V9" s="27"/>
      <x:c r="W9" s="27"/>
      <x:c r="X9" s="27"/>
      <x:c r="Y9" s="27"/>
      <x:c r="Z9" s="27"/>
      <x:c r="AA9" s="27"/>
      <x:c r="AB9" s="27" t="n">
        <x:v>2357.483</x:v>
      </x:c>
      <x:c r="AC9" s="27" t="n">
        <x:v>8548.683</x:v>
      </x:c>
      <x:c r="AD9" s="27" t="n">
        <x:v>5554.384</x:v>
      </x:c>
      <x:c r="AE9" s="27"/>
      <x:c r="AF9" s="27"/>
      <x:c r="AG9" s="27"/>
      <x:c r="AH9" s="27"/>
      <x:c r="AI9" s="27"/>
      <x:c r="AJ9" s="27"/>
      <x:c r="AK9" s="27"/>
      <x:c r="AL9" s="27"/>
      <x:c r="AM9" s="27"/>
      <x:c r="AN9" s="27" t="n">
        <x:v>67.41</x:v>
      </x:c>
      <x:c r="AO9" s="27" t="n">
        <x:v>67.111</x:v>
      </x:c>
      <x:c r="AP9" s="27" t="n">
        <x:f>SUMIF('调用明细'!$A$2:$A$498,F9,'调用明细'!$H$2:$H$498)</x:f>
        <x:v>38965.583999999995</x:v>
      </x:c>
      <x:c r="AQ9" s="27" t="n">
        <x:f>COUNTIF('调用明细'!$A$2:$A$498,F9)</x:f>
        <x:v>9</x:v>
      </x:c>
      <x:c r="AR9" s="23" t="str">
        <x:v>完整</x:v>
      </x:c>
    </x:row>
    <x:row r="10" ht="42" customHeight="1">
      <x:c r="A10" s="23" t="s">
        <x:v>26</x:v>
      </x:c>
      <x:c r="B10" s="23" t="s">
        <x:v>31</x:v>
      </x:c>
      <x:c r="C10" s="23" t="s">
        <x:v>38</x:v>
      </x:c>
      <x:c r="D10" s="25" t="s">
        <x:v>39</x:v>
      </x:c>
      <x:c r="E10" s="25" t="s">
        <x:v>40</x:v>
      </x:c>
      <x:c r="F10" s="29" t="n">
        <x:v>9</x:v>
      </x:c>
      <x:c r="G10" s="23" t="str">
        <x:v>查询站点 CBN-福州晋安-站东路三环北路交叉西C-HRRH 和 CBN-福州仓山-高铁鸡笼山隧道入口C-HRRH 下所有小区的经度、纬度和方位角</x:v>
      </x:c>
      <x:c r="H10" s="27" t="n">
        <x:v>6181.394</x:v>
      </x:c>
      <x:c r="I10" s="27" t="n">
        <x:v>8527.335</x:v>
      </x:c>
      <x:c r="J10" s="27"/>
      <x:c r="K10" s="27"/>
      <x:c r="L10" s="27" t="n">
        <x:v>4271.592</x:v>
      </x:c>
      <x:c r="M10" s="27"/>
      <x:c r="N10" s="27"/>
      <x:c r="O10" s="27"/>
      <x:c r="P10" s="27"/>
      <x:c r="Q10" s="27"/>
      <x:c r="R10" s="27"/>
      <x:c r="S10" s="27"/>
      <x:c r="T10" s="27" t="n">
        <x:v>1399.027</x:v>
      </x:c>
      <x:c r="U10" s="27"/>
      <x:c r="V10" s="27"/>
      <x:c r="W10" s="27"/>
      <x:c r="X10" s="27"/>
      <x:c r="Y10" s="27"/>
      <x:c r="Z10" s="27"/>
      <x:c r="AA10" s="27"/>
      <x:c r="AB10" s="27" t="n">
        <x:v>3378.403</x:v>
      </x:c>
      <x:c r="AC10" s="27" t="n">
        <x:v>12578.814</x:v>
      </x:c>
      <x:c r="AD10" s="27" t="n">
        <x:v>5781.479</x:v>
      </x:c>
      <x:c r="AE10" s="27"/>
      <x:c r="AF10" s="27"/>
      <x:c r="AG10" s="27"/>
      <x:c r="AH10" s="27"/>
      <x:c r="AI10" s="27"/>
      <x:c r="AJ10" s="27"/>
      <x:c r="AK10" s="27"/>
      <x:c r="AL10" s="27"/>
      <x:c r="AM10" s="27"/>
      <x:c r="AN10" s="27" t="n">
        <x:v>67.515</x:v>
      </x:c>
      <x:c r="AO10" s="27" t="n">
        <x:v>68.109</x:v>
      </x:c>
      <x:c r="AP10" s="27" t="n">
        <x:f>SUMIF('调用明细'!$A$2:$A$498,F10,'调用明细'!$H$2:$H$498)</x:f>
        <x:v>42253.668</x:v>
      </x:c>
      <x:c r="AQ10" s="27" t="n">
        <x:f>COUNTIF('调用明细'!$A$2:$A$498,F10)</x:f>
        <x:v>9</x:v>
      </x:c>
      <x:c r="AR10" s="23" t="str">
        <x:v>完整</x:v>
      </x:c>
    </x:row>
    <x:row r="11" ht="42" customHeight="1">
      <x:c r="A11" s="23" t="s">
        <x:v>26</x:v>
      </x:c>
      <x:c r="B11" s="23" t="s">
        <x:v>27</x:v>
      </x:c>
      <x:c r="C11" s="23" t="s">
        <x:v>41</x:v>
      </x:c>
      <x:c r="D11" s="25" t="s">
        <x:v>42</x:v>
      </x:c>
      <x:c r="E11" s="25" t="s">
        <x:v>43</x:v>
      </x:c>
      <x:c r="F11" s="29" t="n">
        <x:v>10</x:v>
      </x:c>
      <x:c r="G11" s="23" t="str">
        <x:v>查询小区 CBN-福州晋安-东浦新村4号楼C-HRHH-512、CBN-福州晋安-东浦新村4号楼C-HRHH-514 和 深圳大梅沙D-HRH-3 的站点名称、小区标识和电子下倾角</x:v>
      </x:c>
      <x:c r="H11" s="27" t="n">
        <x:v>6415.145</x:v>
      </x:c>
      <x:c r="I11" s="27" t="n">
        <x:v>5940.845</x:v>
      </x:c>
      <x:c r="J11" s="27"/>
      <x:c r="K11" s="27"/>
      <x:c r="L11" s="27" t="n">
        <x:v>4369.805</x:v>
      </x:c>
      <x:c r="M11" s="27"/>
      <x:c r="N11" s="27"/>
      <x:c r="O11" s="27"/>
      <x:c r="P11" s="27"/>
      <x:c r="Q11" s="27"/>
      <x:c r="R11" s="27"/>
      <x:c r="S11" s="27"/>
      <x:c r="T11" s="27" t="n">
        <x:v>1836.761</x:v>
      </x:c>
      <x:c r="U11" s="27"/>
      <x:c r="V11" s="27"/>
      <x:c r="W11" s="27"/>
      <x:c r="X11" s="27"/>
      <x:c r="Y11" s="27"/>
      <x:c r="Z11" s="27"/>
      <x:c r="AA11" s="27"/>
      <x:c r="AB11" s="27" t="n">
        <x:v>2917.665</x:v>
      </x:c>
      <x:c r="AC11" s="27" t="n">
        <x:v>12618.587</x:v>
      </x:c>
      <x:c r="AD11" s="27" t="n">
        <x:v>11707.777</x:v>
      </x:c>
      <x:c r="AE11" s="27"/>
      <x:c r="AF11" s="27"/>
      <x:c r="AG11" s="27"/>
      <x:c r="AH11" s="27"/>
      <x:c r="AI11" s="27"/>
      <x:c r="AJ11" s="27"/>
      <x:c r="AK11" s="27"/>
      <x:c r="AL11" s="27"/>
      <x:c r="AM11" s="27"/>
      <x:c r="AN11" s="27"/>
      <x:c r="AO11" s="27"/>
      <x:c r="AP11" s="27" t="n">
        <x:f>SUMIF('调用明细'!$A$2:$A$498,F11,'调用明细'!$H$2:$H$498)</x:f>
        <x:v>45806.58500000001</x:v>
      </x:c>
      <x:c r="AQ11" s="27" t="n">
        <x:f>COUNTIF('调用明细'!$A$2:$A$498,F11)</x:f>
        <x:v>7</x:v>
      </x:c>
      <x:c r="AR11" s="23" t="str">
        <x:v>完整</x:v>
      </x:c>
    </x:row>
    <x:row r="12" ht="42" customHeight="1">
      <x:c r="A12" s="23" t="s">
        <x:v>44</x:v>
      </x:c>
      <x:c r="B12" s="23" t="s">
        <x:v>45</x:v>
      </x:c>
      <x:c r="C12" s="23" t="s">
        <x:v>46</x:v>
      </x:c>
      <x:c r="D12" s="25" t="s">
        <x:v>47</x:v>
      </x:c>
      <x:c r="E12" s="25" t="s">
        <x:v>48</x:v>
      </x:c>
      <x:c r="F12" s="29" t="n">
        <x:v>11</x:v>
      </x:c>
      <x:c r="G12" s="23" t="str">
        <x:v>查询CBN-深圳大梅沙U-H5H站点下5G小区的小区名称、基站标识和方位角</x:v>
      </x:c>
      <x:c r="H12" s="27" t="n">
        <x:v>11102.282</x:v>
      </x:c>
      <x:c r="I12" s="27" t="n">
        <x:v>5205.833</x:v>
      </x:c>
      <x:c r="J12" s="27"/>
      <x:c r="K12" s="27"/>
      <x:c r="L12" s="27" t="n">
        <x:v>3229.091</x:v>
      </x:c>
      <x:c r="M12" s="27"/>
      <x:c r="N12" s="27"/>
      <x:c r="O12" s="27"/>
      <x:c r="P12" s="27"/>
      <x:c r="Q12" s="27"/>
      <x:c r="R12" s="27"/>
      <x:c r="S12" s="27"/>
      <x:c r="T12" s="27" t="n">
        <x:v>1348.486</x:v>
      </x:c>
      <x:c r="U12" s="27"/>
      <x:c r="V12" s="27"/>
      <x:c r="W12" s="27"/>
      <x:c r="X12" s="27"/>
      <x:c r="Y12" s="27"/>
      <x:c r="Z12" s="27"/>
      <x:c r="AA12" s="27"/>
      <x:c r="AB12" s="27" t="n">
        <x:v>2182.174</x:v>
      </x:c>
      <x:c r="AC12" s="27" t="n">
        <x:v>8956.989</x:v>
      </x:c>
      <x:c r="AD12" s="27" t="n">
        <x:v>7811.618</x:v>
      </x:c>
      <x:c r="AE12" s="27"/>
      <x:c r="AF12" s="27"/>
      <x:c r="AG12" s="27"/>
      <x:c r="AH12" s="27"/>
      <x:c r="AI12" s="27"/>
      <x:c r="AJ12" s="27"/>
      <x:c r="AK12" s="27"/>
      <x:c r="AL12" s="27"/>
      <x:c r="AM12" s="27"/>
      <x:c r="AN12" s="27"/>
      <x:c r="AO12" s="27"/>
      <x:c r="AP12" s="27" t="n">
        <x:f>SUMIF('调用明细'!$A$2:$A$498,F12,'调用明细'!$H$2:$H$498)</x:f>
        <x:v>39836.473</x:v>
      </x:c>
      <x:c r="AQ12" s="27" t="n">
        <x:f>COUNTIF('调用明细'!$A$2:$A$498,F12)</x:f>
        <x:v>7</x:v>
      </x:c>
      <x:c r="AR12" s="23" t="str">
        <x:v>完整</x:v>
      </x:c>
    </x:row>
    <x:row r="13" ht="42" customHeight="1">
      <x:c r="A13" s="23" t="s">
        <x:v>44</x:v>
      </x:c>
      <x:c r="B13" s="23" t="s">
        <x:v>49</x:v>
      </x:c>
      <x:c r="C13" s="23" t="s">
        <x:v>50</x:v>
      </x:c>
      <x:c r="D13" s="25" t="s">
        <x:v>51</x:v>
      </x:c>
      <x:c r="E13" s="25" t="s">
        <x:v>52</x:v>
      </x:c>
      <x:c r="F13" s="29" t="n">
        <x:v>12</x:v>
      </x:c>
      <x:c r="G13" s="23" t="str">
        <x:v>查询深圳大梅沙二D-HRH（深圳大梅沙二D-HRH）C-HRH-3这个NR小区的机械下倾角、电子下倾角和天线高度</x:v>
      </x:c>
      <x:c r="H13" s="27" t="n">
        <x:v>8057.581</x:v>
      </x:c>
      <x:c r="I13" s="27" t="n">
        <x:v>5571.723</x:v>
      </x:c>
      <x:c r="J13" s="27" t="n">
        <x:v>6065.158</x:v>
      </x:c>
      <x:c r="K13" s="27" t="n">
        <x:v>6419.511</x:v>
      </x:c>
      <x:c r="L13" s="27" t="n">
        <x:v>3431.466</x:v>
      </x:c>
      <x:c r="M13" s="27" t="n">
        <x:v>3463.639</x:v>
      </x:c>
      <x:c r="N13" s="27" t="n">
        <x:v>3579.477</x:v>
      </x:c>
      <x:c r="O13" s="27"/>
      <x:c r="P13" s="27"/>
      <x:c r="Q13" s="27"/>
      <x:c r="R13" s="27"/>
      <x:c r="S13" s="27"/>
      <x:c r="T13" s="27" t="n">
        <x:v>1439.215</x:v>
      </x:c>
      <x:c r="U13" s="27" t="n">
        <x:v>1592.141</x:v>
      </x:c>
      <x:c r="V13" s="27" t="n">
        <x:v>1349.764</x:v>
      </x:c>
      <x:c r="W13" s="27" t="n">
        <x:v>1663.924</x:v>
      </x:c>
      <x:c r="X13" s="27" t="n">
        <x:v>1269.454</x:v>
      </x:c>
      <x:c r="Y13" s="27" t="n">
        <x:v>1745.116</x:v>
      </x:c>
      <x:c r="Z13" s="27" t="n">
        <x:v>1745.553</x:v>
      </x:c>
      <x:c r="AA13" s="27"/>
      <x:c r="AB13" s="27" t="n">
        <x:v>2070.578</x:v>
      </x:c>
      <x:c r="AC13" s="27" t="n">
        <x:v>7503.838</x:v>
      </x:c>
      <x:c r="AD13" s="27" t="n">
        <x:v>5894.728</x:v>
      </x:c>
      <x:c r="AE13" s="27"/>
      <x:c r="AF13" s="27"/>
      <x:c r="AG13" s="27"/>
      <x:c r="AH13" s="27"/>
      <x:c r="AI13" s="27"/>
      <x:c r="AJ13" s="27"/>
      <x:c r="AK13" s="27"/>
      <x:c r="AL13" s="27"/>
      <x:c r="AM13" s="27"/>
      <x:c r="AN13" s="27"/>
      <x:c r="AO13" s="27"/>
      <x:c r="AP13" s="27" t="n">
        <x:f>SUMIF('调用明细'!$A$2:$A$498,F13,'调用明细'!$H$2:$H$498)</x:f>
        <x:v>62862.865999999995</x:v>
      </x:c>
      <x:c r="AQ13" s="27" t="n">
        <x:f>COUNTIF('调用明细'!$A$2:$A$498,F13)</x:f>
        <x:v>17</x:v>
      </x:c>
      <x:c r="AR13" s="23" t="str">
        <x:v>完整</x:v>
      </x:c>
    </x:row>
    <x:row r="14" ht="42" customHeight="1">
      <x:c r="A14" s="23" t="s">
        <x:v>44</x:v>
      </x:c>
      <x:c r="B14" s="23" t="s">
        <x:v>53</x:v>
      </x:c>
      <x:c r="C14" s="23" t="s">
        <x:v>54</x:v>
      </x:c>
      <x:c r="D14" s="25" t="s">
        <x:v>55</x:v>
      </x:c>
      <x:c r="E14" s="25" t="s">
        <x:v>56</x:v>
      </x:c>
      <x:c r="F14" s="29" t="n">
        <x:v>13</x:v>
      </x:c>
      <x:c r="G14" s="23" t="str">
        <x:v>查询站点CBN-福州晋安-站东路三环北路交叉西C-HRRH和深圳东海岸三D-HRH下5G小区的纬度、经度和设备厂商</x:v>
      </x:c>
      <x:c r="H14" s="27" t="n">
        <x:v>5789.137</x:v>
      </x:c>
      <x:c r="I14" s="27" t="n">
        <x:v>5628.341</x:v>
      </x:c>
      <x:c r="J14" s="27"/>
      <x:c r="K14" s="27"/>
      <x:c r="L14" s="27" t="n">
        <x:v>4447.53</x:v>
      </x:c>
      <x:c r="M14" s="27"/>
      <x:c r="N14" s="27"/>
      <x:c r="O14" s="27"/>
      <x:c r="P14" s="27"/>
      <x:c r="Q14" s="27"/>
      <x:c r="R14" s="27"/>
      <x:c r="S14" s="27"/>
      <x:c r="T14" s="27" t="n">
        <x:v>1568.47</x:v>
      </x:c>
      <x:c r="U14" s="27" t="n">
        <x:v>1701.071</x:v>
      </x:c>
      <x:c r="V14" s="27" t="n">
        <x:v>1649.393</x:v>
      </x:c>
      <x:c r="W14" s="27"/>
      <x:c r="X14" s="27"/>
      <x:c r="Y14" s="27"/>
      <x:c r="Z14" s="27"/>
      <x:c r="AA14" s="27"/>
      <x:c r="AB14" s="27" t="n">
        <x:v>2430.083</x:v>
      </x:c>
      <x:c r="AC14" s="27" t="n">
        <x:v>8346.885</x:v>
      </x:c>
      <x:c r="AD14" s="27" t="n">
        <x:v>8253.072</x:v>
      </x:c>
      <x:c r="AE14" s="27"/>
      <x:c r="AF14" s="27"/>
      <x:c r="AG14" s="27"/>
      <x:c r="AH14" s="27"/>
      <x:c r="AI14" s="27"/>
      <x:c r="AJ14" s="27"/>
      <x:c r="AK14" s="27"/>
      <x:c r="AL14" s="27"/>
      <x:c r="AM14" s="27"/>
      <x:c r="AN14" s="27"/>
      <x:c r="AO14" s="27"/>
      <x:c r="AP14" s="27" t="n">
        <x:f>SUMIF('调用明细'!$A$2:$A$498,F14,'调用明细'!$H$2:$H$498)</x:f>
        <x:v>39813.981999999996</x:v>
      </x:c>
      <x:c r="AQ14" s="27" t="n">
        <x:f>COUNTIF('调用明细'!$A$2:$A$498,F14)</x:f>
        <x:v>9</x:v>
      </x:c>
      <x:c r="AR14" s="23" t="str">
        <x:v>完整</x:v>
      </x:c>
    </x:row>
    <x:row r="15" ht="42" customHeight="1">
      <x:c r="A15" s="23" t="s">
        <x:v>44</x:v>
      </x:c>
      <x:c r="B15" s="23" t="s">
        <x:v>57</x:v>
      </x:c>
      <x:c r="C15" s="23" t="s">
        <x:v>58</x:v>
      </x:c>
      <x:c r="D15" s="25" t="s">
        <x:v>59</x:v>
      </x:c>
      <x:c r="E15" s="25" t="s">
        <x:v>60</x:v>
      </x:c>
      <x:c r="F15" s="29" t="n">
        <x:v>14</x:v>
      </x:c>
      <x:c r="G15" s="23" t="str">
        <x:v>查询小区CBN-福州仓山-福州火车南站C-HRHH-521和CBN-福州晋安-东浦新村4号楼C-HRHH-513的方向角、移动国家码和站点名称</x:v>
      </x:c>
      <x:c r="H15" s="27" t="n">
        <x:v>9277.391</x:v>
      </x:c>
      <x:c r="I15" s="27" t="n">
        <x:v>6349.251</x:v>
      </x:c>
      <x:c r="J15" s="27"/>
      <x:c r="K15" s="27"/>
      <x:c r="L15" s="27" t="n">
        <x:v>4245.973</x:v>
      </x:c>
      <x:c r="M15" s="27"/>
      <x:c r="N15" s="27"/>
      <x:c r="O15" s="27"/>
      <x:c r="P15" s="27"/>
      <x:c r="Q15" s="27"/>
      <x:c r="R15" s="27"/>
      <x:c r="S15" s="27"/>
      <x:c r="T15" s="27" t="n">
        <x:v>1459.73</x:v>
      </x:c>
      <x:c r="U15" s="27"/>
      <x:c r="V15" s="27"/>
      <x:c r="W15" s="27"/>
      <x:c r="X15" s="27"/>
      <x:c r="Y15" s="27"/>
      <x:c r="Z15" s="27"/>
      <x:c r="AA15" s="27"/>
      <x:c r="AB15" s="27" t="n">
        <x:v>2328.402</x:v>
      </x:c>
      <x:c r="AC15" s="27" t="n">
        <x:v>6342.972</x:v>
      </x:c>
      <x:c r="AD15" s="27" t="n">
        <x:v>7402.817</x:v>
      </x:c>
      <x:c r="AE15" s="27"/>
      <x:c r="AF15" s="27"/>
      <x:c r="AG15" s="27"/>
      <x:c r="AH15" s="27"/>
      <x:c r="AI15" s="27"/>
      <x:c r="AJ15" s="27"/>
      <x:c r="AK15" s="27"/>
      <x:c r="AL15" s="27"/>
      <x:c r="AM15" s="27"/>
      <x:c r="AN15" s="27"/>
      <x:c r="AO15" s="27"/>
      <x:c r="AP15" s="27" t="n">
        <x:f>SUMIF('调用明细'!$A$2:$A$498,F15,'调用明细'!$H$2:$H$498)</x:f>
        <x:v>37406.536</x:v>
      </x:c>
      <x:c r="AQ15" s="27" t="n">
        <x:f>COUNTIF('调用明细'!$A$2:$A$498,F15)</x:f>
        <x:v>7</x:v>
      </x:c>
      <x:c r="AR15" s="23" t="str">
        <x:v>完整</x:v>
      </x:c>
    </x:row>
    <x:row r="16" ht="42" customHeight="1">
      <x:c r="A16" s="23" t="s">
        <x:v>44</x:v>
      </x:c>
      <x:c r="B16" s="23" t="s">
        <x:v>45</x:v>
      </x:c>
      <x:c r="C16" s="23" t="s">
        <x:v>61</x:v>
      </x:c>
      <x:c r="D16" s="25" t="s">
        <x:v>62</x:v>
      </x:c>
      <x:c r="E16" s="25" t="s">
        <x:v>63</x:v>
      </x:c>
      <x:c r="F16" s="29" t="n">
        <x:v>15</x:v>
      </x:c>
      <x:c r="G16" s="23" t="str">
        <x:v>查询CBN-深圳梅沙湾二U-H5H站点下所有5G小区的CGI、小区标识和机械下倾角</x:v>
      </x:c>
      <x:c r="H16" s="27" t="n">
        <x:v>8044.866</x:v>
      </x:c>
      <x:c r="I16" s="27" t="n">
        <x:v>5284.082</x:v>
      </x:c>
      <x:c r="J16" s="27"/>
      <x:c r="K16" s="27"/>
      <x:c r="L16" s="27" t="n">
        <x:v>3549.778</x:v>
      </x:c>
      <x:c r="M16" s="27"/>
      <x:c r="N16" s="27"/>
      <x:c r="O16" s="27"/>
      <x:c r="P16" s="27"/>
      <x:c r="Q16" s="27"/>
      <x:c r="R16" s="27"/>
      <x:c r="S16" s="27"/>
      <x:c r="T16" s="27" t="n">
        <x:v>1379.935</x:v>
      </x:c>
      <x:c r="U16" s="27"/>
      <x:c r="V16" s="27"/>
      <x:c r="W16" s="27"/>
      <x:c r="X16" s="27"/>
      <x:c r="Y16" s="27"/>
      <x:c r="Z16" s="27"/>
      <x:c r="AA16" s="27"/>
      <x:c r="AB16" s="27" t="n">
        <x:v>3321.384</x:v>
      </x:c>
      <x:c r="AC16" s="27" t="n">
        <x:v>6830.86</x:v>
      </x:c>
      <x:c r="AD16" s="27" t="n">
        <x:v>8211.318</x:v>
      </x:c>
      <x:c r="AE16" s="27"/>
      <x:c r="AF16" s="27"/>
      <x:c r="AG16" s="27"/>
      <x:c r="AH16" s="27"/>
      <x:c r="AI16" s="27"/>
      <x:c r="AJ16" s="27"/>
      <x:c r="AK16" s="27"/>
      <x:c r="AL16" s="27"/>
      <x:c r="AM16" s="27"/>
      <x:c r="AN16" s="27"/>
      <x:c r="AO16" s="27"/>
      <x:c r="AP16" s="27" t="n">
        <x:f>SUMIF('调用明细'!$A$2:$A$498,F16,'调用明细'!$H$2:$H$498)</x:f>
        <x:v>36622.223</x:v>
      </x:c>
      <x:c r="AQ16" s="27" t="n">
        <x:f>COUNTIF('调用明细'!$A$2:$A$498,F16)</x:f>
        <x:v>7</x:v>
      </x:c>
      <x:c r="AR16" s="23" t="str">
        <x:v>完整</x:v>
      </x:c>
    </x:row>
    <x:row r="17" ht="42" customHeight="1">
      <x:c r="A17" s="23" t="s">
        <x:v>64</x:v>
      </x:c>
      <x:c r="B17" s="23" t="s">
        <x:v>65</x:v>
      </x:c>
      <x:c r="C17" s="23" t="s">
        <x:v>66</x:v>
      </x:c>
      <x:c r="D17" s="25" t="s">
        <x:v>67</x:v>
      </x:c>
      <x:c r="E17" s="25" t="s">
        <x:v>68</x:v>
      </x:c>
      <x:c r="F17" s="29" t="n">
        <x:v>16</x:v>
      </x:c>
      <x:c r="G17" s="23" t="str">
        <x:v>查询CBN-深圳梅沙湾U-H5H站点下天线高度大于30米的小区，返回小区名称、天线高度和方位角</x:v>
      </x:c>
      <x:c r="H17" s="27" t="n">
        <x:v>8320.396</x:v>
      </x:c>
      <x:c r="I17" s="27" t="n">
        <x:v>5844.813</x:v>
      </x:c>
      <x:c r="J17" s="27"/>
      <x:c r="K17" s="27"/>
      <x:c r="L17" s="27" t="n">
        <x:v>3911.093</x:v>
      </x:c>
      <x:c r="M17" s="27"/>
      <x:c r="N17" s="27"/>
      <x:c r="O17" s="27"/>
      <x:c r="P17" s="27"/>
      <x:c r="Q17" s="27"/>
      <x:c r="R17" s="27"/>
      <x:c r="S17" s="27"/>
      <x:c r="T17" s="27" t="n">
        <x:v>1524.411</x:v>
      </x:c>
      <x:c r="U17" s="27"/>
      <x:c r="V17" s="27"/>
      <x:c r="W17" s="27"/>
      <x:c r="X17" s="27"/>
      <x:c r="Y17" s="27"/>
      <x:c r="Z17" s="27"/>
      <x:c r="AA17" s="27"/>
      <x:c r="AB17" s="27" t="n">
        <x:v>1982.378</x:v>
      </x:c>
      <x:c r="AC17" s="27" t="n">
        <x:v>6908.202</x:v>
      </x:c>
      <x:c r="AD17" s="27" t="n">
        <x:v>5697.663</x:v>
      </x:c>
      <x:c r="AE17" s="27"/>
      <x:c r="AF17" s="27"/>
      <x:c r="AG17" s="27"/>
      <x:c r="AH17" s="27"/>
      <x:c r="AI17" s="27"/>
      <x:c r="AJ17" s="27"/>
      <x:c r="AK17" s="27"/>
      <x:c r="AL17" s="27"/>
      <x:c r="AM17" s="27"/>
      <x:c r="AN17" s="27"/>
      <x:c r="AO17" s="27"/>
      <x:c r="AP17" s="27" t="n">
        <x:f>SUMIF('调用明细'!$A$2:$A$498,F17,'调用明细'!$H$2:$H$498)</x:f>
        <x:v>34188.956</x:v>
      </x:c>
      <x:c r="AQ17" s="27" t="n">
        <x:f>COUNTIF('调用明细'!$A$2:$A$498,F17)</x:f>
        <x:v>7</x:v>
      </x:c>
      <x:c r="AR17" s="23" t="str">
        <x:v>完整</x:v>
      </x:c>
    </x:row>
    <x:row r="18" ht="42" customHeight="1">
      <x:c r="A18" s="23" t="s">
        <x:v>64</x:v>
      </x:c>
      <x:c r="B18" s="23" t="s">
        <x:v>69</x:v>
      </x:c>
      <x:c r="C18" s="23" t="s">
        <x:v>70</x:v>
      </x:c>
      <x:c r="D18" s="25" t="s">
        <x:v>71</x:v>
      </x:c>
      <x:c r="E18" s="25" t="s">
        <x:v>72</x:v>
      </x:c>
      <x:c r="F18" s="29" t="n">
        <x:v>17</x:v>
      </x:c>
      <x:c r="G18" s="23" t="str">
        <x:v>查询深圳奥特莱斯D-HRW-1和深圳奥特莱斯D-HRH-2这两个5G小区的工程参数，包括小区名称、机械下倾角和电子下倾角，筛选出机械下倾角在3到9之间的小区。</x:v>
      </x:c>
      <x:c r="H18" s="27" t="n">
        <x:v>5704.087</x:v>
      </x:c>
      <x:c r="I18" s="27" t="n">
        <x:v>8953.636</x:v>
      </x:c>
      <x:c r="J18" s="27"/>
      <x:c r="K18" s="27"/>
      <x:c r="L18" s="27" t="n">
        <x:v>3947.179</x:v>
      </x:c>
      <x:c r="M18" s="27"/>
      <x:c r="N18" s="27"/>
      <x:c r="O18" s="27"/>
      <x:c r="P18" s="27"/>
      <x:c r="Q18" s="27"/>
      <x:c r="R18" s="27"/>
      <x:c r="S18" s="27"/>
      <x:c r="T18" s="27" t="n">
        <x:v>1694.254</x:v>
      </x:c>
      <x:c r="U18" s="27"/>
      <x:c r="V18" s="27"/>
      <x:c r="W18" s="27"/>
      <x:c r="X18" s="27"/>
      <x:c r="Y18" s="27"/>
      <x:c r="Z18" s="27"/>
      <x:c r="AA18" s="27"/>
      <x:c r="AB18" s="27" t="n">
        <x:v>1694.251</x:v>
      </x:c>
      <x:c r="AC18" s="27" t="n">
        <x:v>8795.191</x:v>
      </x:c>
      <x:c r="AD18" s="27" t="n">
        <x:v>7846.024</x:v>
      </x:c>
      <x:c r="AE18" s="27"/>
      <x:c r="AF18" s="27"/>
      <x:c r="AG18" s="27"/>
      <x:c r="AH18" s="27"/>
      <x:c r="AI18" s="27"/>
      <x:c r="AJ18" s="27"/>
      <x:c r="AK18" s="27"/>
      <x:c r="AL18" s="27"/>
      <x:c r="AM18" s="27"/>
      <x:c r="AN18" s="27"/>
      <x:c r="AO18" s="27"/>
      <x:c r="AP18" s="27" t="n">
        <x:f>SUMIF('调用明细'!$A$2:$A$498,F18,'调用明细'!$H$2:$H$498)</x:f>
        <x:v>38634.622</x:v>
      </x:c>
      <x:c r="AQ18" s="27" t="n">
        <x:f>COUNTIF('调用明细'!$A$2:$A$498,F18)</x:f>
        <x:v>7</x:v>
      </x:c>
      <x:c r="AR18" s="23" t="str">
        <x:v>完整</x:v>
      </x:c>
    </x:row>
    <x:row r="19" ht="42" customHeight="1">
      <x:c r="A19" s="23" t="s">
        <x:v>64</x:v>
      </x:c>
      <x:c r="B19" s="23" t="s">
        <x:v>73</x:v>
      </x:c>
      <x:c r="C19" s="23" t="s">
        <x:v>74</x:v>
      </x:c>
      <x:c r="D19" s="25" t="s">
        <x:v>75</x:v>
      </x:c>
      <x:c r="E19" s="25" t="s">
        <x:v>68</x:v>
      </x:c>
      <x:c r="F19" s="29" t="n">
        <x:v>18</x:v>
      </x:c>
      <x:c r="G19" s="23" t="str">
        <x:v>查询CBN-福州晋安-东浦新村4号楼C-HRHH站点下，方位角等于90且电子下倾角不超过6的小区，返回小区名称、方位角和电子下倾角。</x:v>
      </x:c>
      <x:c r="H19" s="27" t="n">
        <x:v>8668.65</x:v>
      </x:c>
      <x:c r="I19" s="27" t="n">
        <x:v>5666.415</x:v>
      </x:c>
      <x:c r="J19" s="27"/>
      <x:c r="K19" s="27"/>
      <x:c r="L19" s="27" t="n">
        <x:v>4468.277</x:v>
      </x:c>
      <x:c r="M19" s="27"/>
      <x:c r="N19" s="27"/>
      <x:c r="O19" s="27"/>
      <x:c r="P19" s="27"/>
      <x:c r="Q19" s="27"/>
      <x:c r="R19" s="27"/>
      <x:c r="S19" s="27"/>
      <x:c r="T19" s="27" t="n">
        <x:v>1556.825</x:v>
      </x:c>
      <x:c r="U19" s="27"/>
      <x:c r="V19" s="27"/>
      <x:c r="W19" s="27"/>
      <x:c r="X19" s="27"/>
      <x:c r="Y19" s="27"/>
      <x:c r="Z19" s="27"/>
      <x:c r="AA19" s="27"/>
      <x:c r="AB19" s="27" t="n">
        <x:v>4445.518</x:v>
      </x:c>
      <x:c r="AC19" s="27" t="n">
        <x:v>5342.417</x:v>
      </x:c>
      <x:c r="AD19" s="27" t="n">
        <x:v>5142.923</x:v>
      </x:c>
      <x:c r="AE19" s="27"/>
      <x:c r="AF19" s="27"/>
      <x:c r="AG19" s="27"/>
      <x:c r="AH19" s="27"/>
      <x:c r="AI19" s="27"/>
      <x:c r="AJ19" s="27"/>
      <x:c r="AK19" s="27"/>
      <x:c r="AL19" s="27"/>
      <x:c r="AM19" s="27"/>
      <x:c r="AN19" s="27"/>
      <x:c r="AO19" s="27"/>
      <x:c r="AP19" s="27" t="n">
        <x:f>SUMIF('调用明细'!$A$2:$A$498,F19,'调用明细'!$H$2:$H$498)</x:f>
        <x:v>35291.025</x:v>
      </x:c>
      <x:c r="AQ19" s="27" t="n">
        <x:f>COUNTIF('调用明细'!$A$2:$A$498,F19)</x:f>
        <x:v>7</x:v>
      </x:c>
      <x:c r="AR19" s="23" t="str">
        <x:v>完整</x:v>
      </x:c>
    </x:row>
    <x:row r="20" ht="42" customHeight="1">
      <x:c r="A20" s="23" t="s">
        <x:v>64</x:v>
      </x:c>
      <x:c r="B20" s="23" t="s">
        <x:v>76</x:v>
      </x:c>
      <x:c r="C20" s="23" t="s">
        <x:v>77</x:v>
      </x:c>
      <x:c r="D20" s="25" t="s">
        <x:v>78</x:v>
      </x:c>
      <x:c r="E20" s="25" t="s">
        <x:v>68</x:v>
      </x:c>
      <x:c r="F20" s="29" t="n">
        <x:v>19</x:v>
      </x:c>
      <x:c r="G20" s="23" t="str">
        <x:v>查询深圳东海岸三D-HRH和深圳大梅沙海滨公园D-HRW-1这两个站点下，天线高度为20或25米的小区，返回小区名称、天线高度和站点名称</x:v>
      </x:c>
      <x:c r="H20" s="27" t="n">
        <x:v>5879.142</x:v>
      </x:c>
      <x:c r="I20" s="27" t="n">
        <x:v>5625.571</x:v>
      </x:c>
      <x:c r="J20" s="27"/>
      <x:c r="K20" s="27"/>
      <x:c r="L20" s="27" t="n">
        <x:v>4026.666</x:v>
      </x:c>
      <x:c r="M20" s="27"/>
      <x:c r="N20" s="27"/>
      <x:c r="O20" s="27"/>
      <x:c r="P20" s="27"/>
      <x:c r="Q20" s="27"/>
      <x:c r="R20" s="27"/>
      <x:c r="S20" s="27"/>
      <x:c r="T20" s="27" t="n">
        <x:v>1605.528</x:v>
      </x:c>
      <x:c r="U20" s="27"/>
      <x:c r="V20" s="27"/>
      <x:c r="W20" s="27"/>
      <x:c r="X20" s="27"/>
      <x:c r="Y20" s="27"/>
      <x:c r="Z20" s="27"/>
      <x:c r="AA20" s="27"/>
      <x:c r="AB20" s="27" t="n">
        <x:v>2539.553</x:v>
      </x:c>
      <x:c r="AC20" s="27" t="n">
        <x:v>6442.729</x:v>
      </x:c>
      <x:c r="AD20" s="27" t="n">
        <x:v>8568.829</x:v>
      </x:c>
      <x:c r="AE20" s="27"/>
      <x:c r="AF20" s="27"/>
      <x:c r="AG20" s="27"/>
      <x:c r="AH20" s="27"/>
      <x:c r="AI20" s="27"/>
      <x:c r="AJ20" s="27"/>
      <x:c r="AK20" s="27"/>
      <x:c r="AL20" s="27"/>
      <x:c r="AM20" s="27"/>
      <x:c r="AN20" s="27"/>
      <x:c r="AO20" s="27"/>
      <x:c r="AP20" s="27" t="n">
        <x:f>SUMIF('调用明细'!$A$2:$A$498,F20,'调用明细'!$H$2:$H$498)</x:f>
        <x:v>34688.018</x:v>
      </x:c>
      <x:c r="AQ20" s="27" t="n">
        <x:f>COUNTIF('调用明细'!$A$2:$A$498,F20)</x:f>
        <x:v>7</x:v>
      </x:c>
      <x:c r="AR20" s="23" t="str">
        <x:v>完整</x:v>
      </x:c>
    </x:row>
    <x:row r="21" ht="42" customHeight="1">
      <x:c r="A21" s="23" t="s">
        <x:v>64</x:v>
      </x:c>
      <x:c r="B21" s="23" t="s">
        <x:v>79</x:v>
      </x:c>
      <x:c r="C21" s="23" t="s">
        <x:v>80</x:v>
      </x:c>
      <x:c r="D21" s="25" t="s">
        <x:v>81</x:v>
      </x:c>
      <x:c r="E21" s="25" t="s">
        <x:v>82</x:v>
      </x:c>
      <x:c r="F21" s="29" t="n">
        <x:v>20</x:v>
      </x:c>
      <x:c r="G21" s="23" t="str">
        <x:v>查询CBN-深圳大梅沙二U-H5H-0711这个NR小区的工程参数，包括小区名称、方位角、经度。</x:v>
      </x:c>
      <x:c r="H21" s="27" t="n">
        <x:v>8505.856</x:v>
      </x:c>
      <x:c r="I21" s="27" t="n">
        <x:v>5263.595</x:v>
      </x:c>
      <x:c r="J21" s="27"/>
      <x:c r="K21" s="27"/>
      <x:c r="L21" s="27" t="n">
        <x:v>3315.321</x:v>
      </x:c>
      <x:c r="M21" s="27"/>
      <x:c r="N21" s="27"/>
      <x:c r="O21" s="27"/>
      <x:c r="P21" s="27"/>
      <x:c r="Q21" s="27"/>
      <x:c r="R21" s="27"/>
      <x:c r="S21" s="27"/>
      <x:c r="T21" s="27" t="n">
        <x:v>1372.456</x:v>
      </x:c>
      <x:c r="U21" s="27"/>
      <x:c r="V21" s="27"/>
      <x:c r="W21" s="27"/>
      <x:c r="X21" s="27"/>
      <x:c r="Y21" s="27"/>
      <x:c r="Z21" s="27"/>
      <x:c r="AA21" s="27"/>
      <x:c r="AB21" s="27" t="n">
        <x:v>1468.038</x:v>
      </x:c>
      <x:c r="AC21" s="27" t="n">
        <x:v>7244.581</x:v>
      </x:c>
      <x:c r="AD21" s="27" t="n">
        <x:v>5314.29</x:v>
      </x:c>
      <x:c r="AE21" s="27"/>
      <x:c r="AF21" s="27"/>
      <x:c r="AG21" s="27"/>
      <x:c r="AH21" s="27"/>
      <x:c r="AI21" s="27"/>
      <x:c r="AJ21" s="27"/>
      <x:c r="AK21" s="27"/>
      <x:c r="AL21" s="27"/>
      <x:c r="AM21" s="27"/>
      <x:c r="AN21" s="27"/>
      <x:c r="AO21" s="27"/>
      <x:c r="AP21" s="27" t="n">
        <x:f>SUMIF('调用明细'!$A$2:$A$498,F21,'调用明细'!$H$2:$H$498)</x:f>
        <x:v>32484.137000000002</x:v>
      </x:c>
      <x:c r="AQ21" s="27" t="n">
        <x:f>COUNTIF('调用明细'!$A$2:$A$498,F21)</x:f>
        <x:v>7</x:v>
      </x:c>
      <x:c r="AR21" s="23" t="str">
        <x:v>完整</x:v>
      </x:c>
    </x:row>
    <x:row r="22" ht="42" customHeight="1">
      <x:c r="A22" s="23" t="s">
        <x:v>5</x:v>
      </x:c>
      <x:c r="B22" s="23" t="s">
        <x:v>6</x:v>
      </x:c>
      <x:c r="C22" s="23" t="s">
        <x:v>83</x:v>
      </x:c>
      <x:c r="D22" s="25" t="s">
        <x:v>84</x:v>
      </x:c>
      <x:c r="E22" s="25" t="s">
        <x:v>85</x:v>
      </x:c>
      <x:c r="F22" s="29" t="n">
        <x:v>21</x:v>
      </x:c>
      <x:c r="G22" s="23" t="str">
        <x:v>查询小区 CBN-福州仓山-永南路与站后路交叉口C-HRHH-515 的方位角和机械下倾角</x:v>
      </x:c>
      <x:c r="H22" s="27" t="n">
        <x:v>5662.635</x:v>
      </x:c>
      <x:c r="I22" s="27" t="n">
        <x:v>5329.629</x:v>
      </x:c>
      <x:c r="J22" s="27"/>
      <x:c r="K22" s="27"/>
      <x:c r="L22" s="27" t="n">
        <x:v>3389.321</x:v>
      </x:c>
      <x:c r="M22" s="27"/>
      <x:c r="N22" s="27"/>
      <x:c r="O22" s="27"/>
      <x:c r="P22" s="27"/>
      <x:c r="Q22" s="27"/>
      <x:c r="R22" s="27"/>
      <x:c r="S22" s="27"/>
      <x:c r="T22" s="27" t="n">
        <x:v>1300.594</x:v>
      </x:c>
      <x:c r="U22" s="27"/>
      <x:c r="V22" s="27"/>
      <x:c r="W22" s="27"/>
      <x:c r="X22" s="27"/>
      <x:c r="Y22" s="27"/>
      <x:c r="Z22" s="27"/>
      <x:c r="AA22" s="27"/>
      <x:c r="AB22" s="27" t="n">
        <x:v>1628.53</x:v>
      </x:c>
      <x:c r="AC22" s="27" t="n">
        <x:v>7272.938</x:v>
      </x:c>
      <x:c r="AD22" s="27" t="n">
        <x:v>5149.51</x:v>
      </x:c>
      <x:c r="AE22" s="27"/>
      <x:c r="AF22" s="27"/>
      <x:c r="AG22" s="27"/>
      <x:c r="AH22" s="27"/>
      <x:c r="AI22" s="27"/>
      <x:c r="AJ22" s="27"/>
      <x:c r="AK22" s="27"/>
      <x:c r="AL22" s="27"/>
      <x:c r="AM22" s="27"/>
      <x:c r="AN22" s="27"/>
      <x:c r="AO22" s="27"/>
      <x:c r="AP22" s="27" t="n">
        <x:f>SUMIF('调用明细'!$A$2:$A$498,F22,'调用明细'!$H$2:$H$498)</x:f>
        <x:v>29733.157</x:v>
      </x:c>
      <x:c r="AQ22" s="27" t="n">
        <x:f>COUNTIF('调用明细'!$A$2:$A$498,F22)</x:f>
        <x:v>7</x:v>
      </x:c>
      <x:c r="AR22" s="23" t="str">
        <x:v>完整</x:v>
      </x:c>
    </x:row>
    <x:row r="23" ht="42" customHeight="1">
      <x:c r="A23" s="23" t="s">
        <x:v>5</x:v>
      </x:c>
      <x:c r="B23" s="23" t="s">
        <x:v>22</x:v>
      </x:c>
      <x:c r="C23" s="23" t="s">
        <x:v>86</x:v>
      </x:c>
      <x:c r="D23" s="25" t="s">
        <x:v>87</x:v>
      </x:c>
      <x:c r="E23" s="25" t="s">
        <x:v>88</x:v>
      </x:c>
      <x:c r="F23" s="29" t="n">
        <x:v>22</x:v>
      </x:c>
      <x:c r="G23" s="23" t="str">
        <x:v>查询深圳大梅沙D-HRH站点下所有小区的经度和纬度工程参数</x:v>
      </x:c>
      <x:c r="H23" s="27" t="n">
        <x:v>5488.531</x:v>
      </x:c>
      <x:c r="I23" s="27" t="n">
        <x:v>5208.171</x:v>
      </x:c>
      <x:c r="J23" s="27"/>
      <x:c r="K23" s="27"/>
      <x:c r="L23" s="27" t="n">
        <x:v>3000.595</x:v>
      </x:c>
      <x:c r="M23" s="27"/>
      <x:c r="N23" s="27"/>
      <x:c r="O23" s="27"/>
      <x:c r="P23" s="27"/>
      <x:c r="Q23" s="27"/>
      <x:c r="R23" s="27"/>
      <x:c r="S23" s="27"/>
      <x:c r="T23" s="27" t="n">
        <x:v>1174.095</x:v>
      </x:c>
      <x:c r="U23" s="27"/>
      <x:c r="V23" s="27"/>
      <x:c r="W23" s="27"/>
      <x:c r="X23" s="27"/>
      <x:c r="Y23" s="27"/>
      <x:c r="Z23" s="27"/>
      <x:c r="AA23" s="27"/>
      <x:c r="AB23" s="27" t="n">
        <x:v>1437.259</x:v>
      </x:c>
      <x:c r="AC23" s="27" t="n">
        <x:v>7414.419</x:v>
      </x:c>
      <x:c r="AD23" s="27" t="n">
        <x:v>7677.502</x:v>
      </x:c>
      <x:c r="AE23" s="27"/>
      <x:c r="AF23" s="27"/>
      <x:c r="AG23" s="27"/>
      <x:c r="AH23" s="27"/>
      <x:c r="AI23" s="27"/>
      <x:c r="AJ23" s="27"/>
      <x:c r="AK23" s="27"/>
      <x:c r="AL23" s="27"/>
      <x:c r="AM23" s="27"/>
      <x:c r="AN23" s="27"/>
      <x:c r="AO23" s="27"/>
      <x:c r="AP23" s="27" t="n">
        <x:f>SUMIF('调用明细'!$A$2:$A$498,F23,'调用明细'!$H$2:$H$498)</x:f>
        <x:v>31400.572</x:v>
      </x:c>
      <x:c r="AQ23" s="27" t="n">
        <x:f>COUNTIF('调用明细'!$A$2:$A$498,F23)</x:f>
        <x:v>7</x:v>
      </x:c>
      <x:c r="AR23" s="23" t="str">
        <x:v>完整</x:v>
      </x:c>
    </x:row>
    <x:row r="24" ht="42" customHeight="1">
      <x:c r="A24" s="23" t="s">
        <x:v>5</x:v>
      </x:c>
      <x:c r="B24" s="23" t="s">
        <x:v>14</x:v>
      </x:c>
      <x:c r="C24" s="23" t="s">
        <x:v>89</x:v>
      </x:c>
      <x:c r="D24" s="25" t="s">
        <x:v>90</x:v>
      </x:c>
      <x:c r="E24" s="25" t="s">
        <x:v>91</x:v>
      </x:c>
      <x:c r="F24" s="29" t="n">
        <x:v>23</x:v>
      </x:c>
      <x:c r="G24" s="23" t="str">
        <x:v>查询小区 CBN-深圳东华风车U-H5H-0711 的基站标识和小区名称</x:v>
      </x:c>
      <x:c r="H24" s="27" t="n">
        <x:v>7969.063</x:v>
      </x:c>
      <x:c r="I24" s="27" t="n">
        <x:v>5189.644</x:v>
      </x:c>
      <x:c r="J24" s="27"/>
      <x:c r="K24" s="27"/>
      <x:c r="L24" s="27" t="n">
        <x:v>3268.415</x:v>
      </x:c>
      <x:c r="M24" s="27"/>
      <x:c r="N24" s="27"/>
      <x:c r="O24" s="27"/>
      <x:c r="P24" s="27"/>
      <x:c r="Q24" s="27"/>
      <x:c r="R24" s="27"/>
      <x:c r="S24" s="27"/>
      <x:c r="T24" s="27" t="n">
        <x:v>1250.621</x:v>
      </x:c>
      <x:c r="U24" s="27"/>
      <x:c r="V24" s="27"/>
      <x:c r="W24" s="27"/>
      <x:c r="X24" s="27"/>
      <x:c r="Y24" s="27"/>
      <x:c r="Z24" s="27"/>
      <x:c r="AA24" s="27"/>
      <x:c r="AB24" s="27" t="n">
        <x:v>1597.695</x:v>
      </x:c>
      <x:c r="AC24" s="27" t="n">
        <x:v>7457.984</x:v>
      </x:c>
      <x:c r="AD24" s="27" t="n">
        <x:v>7543.397</x:v>
      </x:c>
      <x:c r="AE24" s="27"/>
      <x:c r="AF24" s="27"/>
      <x:c r="AG24" s="27"/>
      <x:c r="AH24" s="27"/>
      <x:c r="AI24" s="27"/>
      <x:c r="AJ24" s="27"/>
      <x:c r="AK24" s="27"/>
      <x:c r="AL24" s="27"/>
      <x:c r="AM24" s="27"/>
      <x:c r="AN24" s="27"/>
      <x:c r="AO24" s="27"/>
      <x:c r="AP24" s="27" t="n">
        <x:f>SUMIF('调用明细'!$A$2:$A$498,F24,'调用明细'!$H$2:$H$498)</x:f>
        <x:v>34276.818999999996</x:v>
      </x:c>
      <x:c r="AQ24" s="27" t="n">
        <x:f>COUNTIF('调用明细'!$A$2:$A$498,F24)</x:f>
        <x:v>7</x:v>
      </x:c>
      <x:c r="AR24" s="23" t="str">
        <x:v>完整</x:v>
      </x:c>
    </x:row>
    <x:row r="25" ht="42" customHeight="1">
      <x:c r="A25" s="23" t="s">
        <x:v>5</x:v>
      </x:c>
      <x:c r="B25" s="23" t="s">
        <x:v>18</x:v>
      </x:c>
      <x:c r="C25" s="23" t="s">
        <x:v>92</x:v>
      </x:c>
      <x:c r="D25" s="25" t="s">
        <x:v>93</x:v>
      </x:c>
      <x:c r="E25" s="25" t="s">
        <x:v>94</x:v>
      </x:c>
      <x:c r="F25" s="29" t="n">
        <x:v>24</x:v>
      </x:c>
      <x:c r="G25" s="23" t="str">
        <x:v>查询小区 CBN-福州晋安-福厦高铁鼓山鼓一隧道C-HRRH-513 的方向角</x:v>
      </x:c>
      <x:c r="H25" s="27" t="n">
        <x:v>8108.114</x:v>
      </x:c>
      <x:c r="I25" s="27" t="n">
        <x:v>7746.849</x:v>
      </x:c>
      <x:c r="J25" s="27"/>
      <x:c r="K25" s="27"/>
      <x:c r="L25" s="27" t="n">
        <x:v>3323.722</x:v>
      </x:c>
      <x:c r="M25" s="27"/>
      <x:c r="N25" s="27"/>
      <x:c r="O25" s="27"/>
      <x:c r="P25" s="27"/>
      <x:c r="Q25" s="27"/>
      <x:c r="R25" s="27"/>
      <x:c r="S25" s="27"/>
      <x:c r="T25" s="27" t="n">
        <x:v>1350.979</x:v>
      </x:c>
      <x:c r="U25" s="27"/>
      <x:c r="V25" s="27"/>
      <x:c r="W25" s="27"/>
      <x:c r="X25" s="27"/>
      <x:c r="Y25" s="27"/>
      <x:c r="Z25" s="27"/>
      <x:c r="AA25" s="27"/>
      <x:c r="AB25" s="27" t="n">
        <x:v>1492.787</x:v>
      </x:c>
      <x:c r="AC25" s="27" t="n">
        <x:v>6639.807</x:v>
      </x:c>
      <x:c r="AD25" s="27" t="n">
        <x:v>5442.82</x:v>
      </x:c>
      <x:c r="AE25" s="27"/>
      <x:c r="AF25" s="27"/>
      <x:c r="AG25" s="27"/>
      <x:c r="AH25" s="27"/>
      <x:c r="AI25" s="27"/>
      <x:c r="AJ25" s="27"/>
      <x:c r="AK25" s="27"/>
      <x:c r="AL25" s="27"/>
      <x:c r="AM25" s="27"/>
      <x:c r="AN25" s="27"/>
      <x:c r="AO25" s="27"/>
      <x:c r="AP25" s="27" t="n">
        <x:f>SUMIF('调用明细'!$A$2:$A$498,F25,'调用明细'!$H$2:$H$498)</x:f>
        <x:v>34105.078</x:v>
      </x:c>
      <x:c r="AQ25" s="27" t="n">
        <x:f>COUNTIF('调用明细'!$A$2:$A$498,F25)</x:f>
        <x:v>7</x:v>
      </x:c>
      <x:c r="AR25" s="23" t="str">
        <x:v>完整</x:v>
      </x:c>
    </x:row>
    <x:row r="26" ht="42" customHeight="1">
      <x:c r="A26" s="23" t="s">
        <x:v>5</x:v>
      </x:c>
      <x:c r="B26" s="23" t="s">
        <x:v>95</x:v>
      </x:c>
      <x:c r="C26" s="23" t="s">
        <x:v>96</x:v>
      </x:c>
      <x:c r="D26" s="25" t="s">
        <x:v>97</x:v>
      </x:c>
      <x:c r="E26" s="25" t="s">
        <x:v>98</x:v>
      </x:c>
      <x:c r="F26" s="29" t="n">
        <x:v>25</x:v>
      </x:c>
      <x:c r="G26" s="23" t="str">
        <x:v>查询站点 CBN-深圳梅沙湾U-H5H 下所有小区的站点名称、方位角和机械下倾角</x:v>
      </x:c>
      <x:c r="H26" s="27" t="n">
        <x:v>5662.356</x:v>
      </x:c>
      <x:c r="I26" s="27" t="n">
        <x:v>5330.904</x:v>
      </x:c>
      <x:c r="J26" s="27"/>
      <x:c r="K26" s="27"/>
      <x:c r="L26" s="27" t="n">
        <x:v>3405.7</x:v>
      </x:c>
      <x:c r="M26" s="27"/>
      <x:c r="N26" s="27"/>
      <x:c r="O26" s="27"/>
      <x:c r="P26" s="27"/>
      <x:c r="Q26" s="27"/>
      <x:c r="R26" s="27"/>
      <x:c r="S26" s="27"/>
      <x:c r="T26" s="27" t="n">
        <x:v>1303.356</x:v>
      </x:c>
      <x:c r="U26" s="27"/>
      <x:c r="V26" s="27"/>
      <x:c r="W26" s="27"/>
      <x:c r="X26" s="27"/>
      <x:c r="Y26" s="27"/>
      <x:c r="Z26" s="27"/>
      <x:c r="AA26" s="27"/>
      <x:c r="AB26" s="27" t="n">
        <x:v>2591.585</x:v>
      </x:c>
      <x:c r="AC26" s="27" t="n">
        <x:v>6616.833</x:v>
      </x:c>
      <x:c r="AD26" s="27" t="n">
        <x:v>5573.454</x:v>
      </x:c>
      <x:c r="AE26" s="27"/>
      <x:c r="AF26" s="27"/>
      <x:c r="AG26" s="27"/>
      <x:c r="AH26" s="27"/>
      <x:c r="AI26" s="27"/>
      <x:c r="AJ26" s="27"/>
      <x:c r="AK26" s="27"/>
      <x:c r="AL26" s="27"/>
      <x:c r="AM26" s="27"/>
      <x:c r="AN26" s="27"/>
      <x:c r="AO26" s="27"/>
      <x:c r="AP26" s="27" t="n">
        <x:f>SUMIF('调用明细'!$A$2:$A$498,F26,'调用明细'!$H$2:$H$498)</x:f>
        <x:v>30484.187999999995</x:v>
      </x:c>
      <x:c r="AQ26" s="27" t="n">
        <x:f>COUNTIF('调用明细'!$A$2:$A$498,F26)</x:f>
        <x:v>7</x:v>
      </x:c>
      <x:c r="AR26" s="23" t="str">
        <x:v>完整</x:v>
      </x:c>
    </x:row>
    <x:row r="27" ht="42" customHeight="1">
      <x:c r="A27" s="23" t="s">
        <x:v>26</x:v>
      </x:c>
      <x:c r="B27" s="23" t="s">
        <x:v>27</x:v>
      </x:c>
      <x:c r="C27" s="23" t="s">
        <x:v>99</x:v>
      </x:c>
      <x:c r="D27" s="25" t="s">
        <x:v>100</x:v>
      </x:c>
      <x:c r="E27" s="25" t="s">
        <x:v>101</x:v>
      </x:c>
      <x:c r="F27" s="29" t="n">
        <x:v>26</x:v>
      </x:c>
      <x:c r="G27" s="23" t="str">
        <x:v>查询小区 CBN-福州仓山-火车南站西广场南侧高架桥旁C-HRHH-513 和 CBN-福州晋安-站东路三环北路交叉西C-HRRH-512 的经度、纬度和方位角</x:v>
      </x:c>
      <x:c r="H27" s="27" t="n">
        <x:v>6157.473</x:v>
      </x:c>
      <x:c r="I27" s="27" t="n">
        <x:v>5547.599</x:v>
      </x:c>
      <x:c r="J27" s="27"/>
      <x:c r="K27" s="27"/>
      <x:c r="L27" s="27" t="n">
        <x:v>4543.295</x:v>
      </x:c>
      <x:c r="M27" s="27"/>
      <x:c r="N27" s="27"/>
      <x:c r="O27" s="27"/>
      <x:c r="P27" s="27"/>
      <x:c r="Q27" s="27"/>
      <x:c r="R27" s="27"/>
      <x:c r="S27" s="27"/>
      <x:c r="T27" s="27" t="n">
        <x:v>1399.729</x:v>
      </x:c>
      <x:c r="U27" s="27"/>
      <x:c r="V27" s="27"/>
      <x:c r="W27" s="27"/>
      <x:c r="X27" s="27"/>
      <x:c r="Y27" s="27"/>
      <x:c r="Z27" s="27"/>
      <x:c r="AA27" s="27"/>
      <x:c r="AB27" s="27" t="n">
        <x:v>2298.711</x:v>
      </x:c>
      <x:c r="AC27" s="27" t="n">
        <x:v>6731.802</x:v>
      </x:c>
      <x:c r="AD27" s="27" t="n">
        <x:v>5562.998</x:v>
      </x:c>
      <x:c r="AE27" s="27"/>
      <x:c r="AF27" s="27"/>
      <x:c r="AG27" s="27"/>
      <x:c r="AH27" s="27"/>
      <x:c r="AI27" s="27"/>
      <x:c r="AJ27" s="27"/>
      <x:c r="AK27" s="27"/>
      <x:c r="AL27" s="27"/>
      <x:c r="AM27" s="27"/>
      <x:c r="AN27" s="27"/>
      <x:c r="AO27" s="27"/>
      <x:c r="AP27" s="27" t="n">
        <x:f>SUMIF('调用明细'!$A$2:$A$498,F27,'调用明细'!$H$2:$H$498)</x:f>
        <x:v>32241.607</x:v>
      </x:c>
      <x:c r="AQ27" s="27" t="n">
        <x:f>COUNTIF('调用明细'!$A$2:$A$498,F27)</x:f>
        <x:v>7</x:v>
      </x:c>
      <x:c r="AR27" s="23" t="str">
        <x:v>完整</x:v>
      </x:c>
    </x:row>
    <x:row r="28" ht="42" customHeight="1">
      <x:c r="A28" s="23" t="s">
        <x:v>26</x:v>
      </x:c>
      <x:c r="B28" s="23" t="s">
        <x:v>31</x:v>
      </x:c>
      <x:c r="C28" s="23" t="s">
        <x:v>102</x:v>
      </x:c>
      <x:c r="D28" s="25" t="s">
        <x:v>103</x:v>
      </x:c>
      <x:c r="E28" s="25" t="s">
        <x:v>104</x:v>
      </x:c>
      <x:c r="F28" s="29" t="n">
        <x:v>27</x:v>
      </x:c>
      <x:c r="G28" s="23" t="str">
        <x:v>查询站点 深圳奥特莱斯D-HRH 和 深圳上威梅沙二D-HRH 下所有小区的天线高度和电子下倾角</x:v>
      </x:c>
      <x:c r="H28" s="27" t="n">
        <x:v>5754.374</x:v>
      </x:c>
      <x:c r="I28" s="27" t="n">
        <x:v>5344.409</x:v>
      </x:c>
      <x:c r="J28" s="27"/>
      <x:c r="K28" s="27"/>
      <x:c r="L28" s="27" t="n">
        <x:v>3510.606</x:v>
      </x:c>
      <x:c r="M28" s="27"/>
      <x:c r="N28" s="27"/>
      <x:c r="O28" s="27"/>
      <x:c r="P28" s="27"/>
      <x:c r="Q28" s="27"/>
      <x:c r="R28" s="27"/>
      <x:c r="S28" s="27"/>
      <x:c r="T28" s="27" t="n">
        <x:v>1271.381</x:v>
      </x:c>
      <x:c r="U28" s="27"/>
      <x:c r="V28" s="27"/>
      <x:c r="W28" s="27"/>
      <x:c r="X28" s="27"/>
      <x:c r="Y28" s="27"/>
      <x:c r="Z28" s="27"/>
      <x:c r="AA28" s="27"/>
      <x:c r="AB28" s="27" t="n">
        <x:v>3182.303</x:v>
      </x:c>
      <x:c r="AC28" s="27" t="n">
        <x:v>8338.003</x:v>
      </x:c>
      <x:c r="AD28" s="27" t="n">
        <x:v>5432.929</x:v>
      </x:c>
      <x:c r="AE28" s="27"/>
      <x:c r="AF28" s="27"/>
      <x:c r="AG28" s="27"/>
      <x:c r="AH28" s="27"/>
      <x:c r="AI28" s="27"/>
      <x:c r="AJ28" s="27"/>
      <x:c r="AK28" s="27"/>
      <x:c r="AL28" s="27"/>
      <x:c r="AM28" s="27"/>
      <x:c r="AN28" s="27"/>
      <x:c r="AO28" s="27"/>
      <x:c r="AP28" s="27" t="n">
        <x:f>SUMIF('调用明细'!$A$2:$A$498,F28,'调用明细'!$H$2:$H$498)</x:f>
        <x:v>32834.005</x:v>
      </x:c>
      <x:c r="AQ28" s="27" t="n">
        <x:f>COUNTIF('调用明细'!$A$2:$A$498,F28)</x:f>
        <x:v>7</x:v>
      </x:c>
      <x:c r="AR28" s="23" t="str">
        <x:v>完整</x:v>
      </x:c>
    </x:row>
    <x:row r="29" ht="42" customHeight="1">
      <x:c r="A29" s="23" t="s">
        <x:v>26</x:v>
      </x:c>
      <x:c r="B29" s="23" t="s">
        <x:v>105</x:v>
      </x:c>
      <x:c r="C29" s="23" t="s">
        <x:v>106</x:v>
      </x:c>
      <x:c r="D29" s="25" t="s">
        <x:v>107</x:v>
      </x:c>
      <x:c r="E29" s="25" t="s">
        <x:v>108</x:v>
      </x:c>
      <x:c r="F29" s="29" t="n">
        <x:v>28</x:v>
      </x:c>
      <x:c r="G29" s="23" t="str">
        <x:v>查询小区 CBN-深圳大梅沙二U-H5H-0711、CBN-深圳盐梅路一U-H5H-0712 和 CBN-深圳东海岸三[CBN-深圳天麓八区U-H5H]U-H5H-0711 的站点名称</x:v>
      </x:c>
      <x:c r="H29" s="27" t="n">
        <x:v>6780.655</x:v>
      </x:c>
      <x:c r="I29" s="27" t="n">
        <x:v>9176.216</x:v>
      </x:c>
      <x:c r="J29" s="27"/>
      <x:c r="K29" s="27"/>
      <x:c r="L29" s="27" t="n">
        <x:v>4586.729</x:v>
      </x:c>
      <x:c r="M29" s="27"/>
      <x:c r="N29" s="27"/>
      <x:c r="O29" s="27"/>
      <x:c r="P29" s="27"/>
      <x:c r="Q29" s="27"/>
      <x:c r="R29" s="27"/>
      <x:c r="S29" s="27"/>
      <x:c r="T29" s="27" t="n">
        <x:v>1952.881</x:v>
      </x:c>
      <x:c r="U29" s="27"/>
      <x:c r="V29" s="27"/>
      <x:c r="W29" s="27"/>
      <x:c r="X29" s="27"/>
      <x:c r="Y29" s="27"/>
      <x:c r="Z29" s="27"/>
      <x:c r="AA29" s="27"/>
      <x:c r="AB29" s="27" t="n">
        <x:v>2173.251</x:v>
      </x:c>
      <x:c r="AC29" s="27" t="n">
        <x:v>5993.692</x:v>
      </x:c>
      <x:c r="AD29" s="27" t="n">
        <x:v>5169.342</x:v>
      </x:c>
      <x:c r="AE29" s="27"/>
      <x:c r="AF29" s="27"/>
      <x:c r="AG29" s="27"/>
      <x:c r="AH29" s="27"/>
      <x:c r="AI29" s="27"/>
      <x:c r="AJ29" s="27"/>
      <x:c r="AK29" s="27"/>
      <x:c r="AL29" s="27"/>
      <x:c r="AM29" s="27"/>
      <x:c r="AN29" s="27"/>
      <x:c r="AO29" s="27"/>
      <x:c r="AP29" s="27" t="n">
        <x:f>SUMIF('调用明细'!$A$2:$A$498,F29,'调用明细'!$H$2:$H$498)</x:f>
        <x:v>35832.765999999996</x:v>
      </x:c>
      <x:c r="AQ29" s="27" t="n">
        <x:f>COUNTIF('调用明细'!$A$2:$A$498,F29)</x:f>
        <x:v>7</x:v>
      </x:c>
      <x:c r="AR29" s="23" t="str">
        <x:v>完整</x:v>
      </x:c>
    </x:row>
    <x:row r="30" ht="42" customHeight="1">
      <x:c r="A30" s="23" t="s">
        <x:v>26</x:v>
      </x:c>
      <x:c r="B30" s="23" t="s">
        <x:v>27</x:v>
      </x:c>
      <x:c r="C30" s="23" t="s">
        <x:v>109</x:v>
      </x:c>
      <x:c r="D30" s="25" t="s">
        <x:v>110</x:v>
      </x:c>
      <x:c r="E30" s="25" t="s">
        <x:v>111</x:v>
      </x:c>
      <x:c r="F30" s="29" t="n">
        <x:v>29</x:v>
      </x:c>
      <x:c r="G30" s="23" t="str">
        <x:v>查询小区 CBN-福州晋安-东浦新村4号楼C-HRHH-513 和 CBN-福州晋安-东浦新村4号楼C-HRHH-514 的设备厂商和小区名称</x:v>
      </x:c>
      <x:c r="H30" s="27" t="n">
        <x:v>5981.659</x:v>
      </x:c>
      <x:c r="I30" s="27" t="n">
        <x:v>5224.916</x:v>
      </x:c>
      <x:c r="J30" s="27"/>
      <x:c r="K30" s="27"/>
      <x:c r="L30" s="27" t="n">
        <x:v>4083.327</x:v>
      </x:c>
      <x:c r="M30" s="27"/>
      <x:c r="N30" s="27"/>
      <x:c r="O30" s="27"/>
      <x:c r="P30" s="27"/>
      <x:c r="Q30" s="27"/>
      <x:c r="R30" s="27"/>
      <x:c r="S30" s="27"/>
      <x:c r="T30" s="27" t="n">
        <x:v>1728.097</x:v>
      </x:c>
      <x:c r="U30" s="27" t="n">
        <x:v>1752.039</x:v>
      </x:c>
      <x:c r="V30" s="27"/>
      <x:c r="W30" s="27"/>
      <x:c r="X30" s="27"/>
      <x:c r="Y30" s="27"/>
      <x:c r="Z30" s="27"/>
      <x:c r="AA30" s="27"/>
      <x:c r="AB30" s="27" t="n">
        <x:v>2867.802</x:v>
      </x:c>
      <x:c r="AC30" s="27" t="n">
        <x:v>8708.473</x:v>
      </x:c>
      <x:c r="AD30" s="27" t="n">
        <x:v>5636.776</x:v>
      </x:c>
      <x:c r="AE30" s="27"/>
      <x:c r="AF30" s="27"/>
      <x:c r="AG30" s="27"/>
      <x:c r="AH30" s="27"/>
      <x:c r="AI30" s="27"/>
      <x:c r="AJ30" s="27"/>
      <x:c r="AK30" s="27"/>
      <x:c r="AL30" s="27"/>
      <x:c r="AM30" s="27"/>
      <x:c r="AN30" s="27"/>
      <x:c r="AO30" s="27"/>
      <x:c r="AP30" s="27" t="n">
        <x:f>SUMIF('调用明细'!$A$2:$A$498,F30,'调用明细'!$H$2:$H$498)</x:f>
        <x:v>35983.089</x:v>
      </x:c>
      <x:c r="AQ30" s="27" t="n">
        <x:f>COUNTIF('调用明细'!$A$2:$A$498,F30)</x:f>
        <x:v>8</x:v>
      </x:c>
      <x:c r="AR30" s="23" t="str">
        <x:v>完整</x:v>
      </x:c>
    </x:row>
    <x:row r="31" ht="42" customHeight="1">
      <x:c r="A31" s="23" t="s">
        <x:v>26</x:v>
      </x:c>
      <x:c r="B31" s="23" t="s">
        <x:v>31</x:v>
      </x:c>
      <x:c r="C31" s="23" t="s">
        <x:v>112</x:v>
      </x:c>
      <x:c r="D31" s="25" t="s">
        <x:v>113</x:v>
      </x:c>
      <x:c r="E31" s="25" t="s">
        <x:v>114</x:v>
      </x:c>
      <x:c r="F31" s="29" t="n">
        <x:v>30</x:v>
      </x:c>
      <x:c r="G31" s="23" t="str">
        <x:v>查询站点 CBN-福州仓山-福州南站火车南站西北美化塔C-HRRH 和 CBN-深圳大梅沙U-H5H 下所有小区的方位角和天线高度</x:v>
      </x:c>
      <x:c r="H31" s="27" t="n">
        <x:v>5819.47</x:v>
      </x:c>
      <x:c r="I31" s="27" t="n">
        <x:v>5749.879</x:v>
      </x:c>
      <x:c r="J31" s="27"/>
      <x:c r="K31" s="27"/>
      <x:c r="L31" s="27" t="n">
        <x:v>4222.559</x:v>
      </x:c>
      <x:c r="M31" s="27"/>
      <x:c r="N31" s="27"/>
      <x:c r="O31" s="27"/>
      <x:c r="P31" s="27"/>
      <x:c r="Q31" s="27"/>
      <x:c r="R31" s="27"/>
      <x:c r="S31" s="27"/>
      <x:c r="T31" s="27" t="n">
        <x:v>1569.966</x:v>
      </x:c>
      <x:c r="U31" s="27" t="n">
        <x:v>1542.737</x:v>
      </x:c>
      <x:c r="V31" s="27"/>
      <x:c r="W31" s="27"/>
      <x:c r="X31" s="27"/>
      <x:c r="Y31" s="27"/>
      <x:c r="Z31" s="27"/>
      <x:c r="AA31" s="27"/>
      <x:c r="AB31" s="27" t="n">
        <x:v>2803.466</x:v>
      </x:c>
      <x:c r="AC31" s="27" t="n">
        <x:v>8614.084</x:v>
      </x:c>
      <x:c r="AD31" s="27" t="n">
        <x:v>7725.6</x:v>
      </x:c>
      <x:c r="AE31" s="27"/>
      <x:c r="AF31" s="27"/>
      <x:c r="AG31" s="27"/>
      <x:c r="AH31" s="27"/>
      <x:c r="AI31" s="27"/>
      <x:c r="AJ31" s="27"/>
      <x:c r="AK31" s="27"/>
      <x:c r="AL31" s="27"/>
      <x:c r="AM31" s="27"/>
      <x:c r="AN31" s="27"/>
      <x:c r="AO31" s="27"/>
      <x:c r="AP31" s="27" t="n">
        <x:f>SUMIF('调用明细'!$A$2:$A$498,F31,'调用明细'!$H$2:$H$498)</x:f>
        <x:v>38047.761</x:v>
      </x:c>
      <x:c r="AQ31" s="27" t="n">
        <x:f>COUNTIF('调用明细'!$A$2:$A$498,F31)</x:f>
        <x:v>8</x:v>
      </x:c>
      <x:c r="AR31" s="23" t="str">
        <x:v>完整</x:v>
      </x:c>
    </x:row>
    <x:row r="32" ht="42" customHeight="1">
      <x:c r="A32" s="23" t="s">
        <x:v>44</x:v>
      </x:c>
      <x:c r="B32" s="23" t="s">
        <x:v>45</x:v>
      </x:c>
      <x:c r="C32" s="23" t="s">
        <x:v>115</x:v>
      </x:c>
      <x:c r="D32" s="25" t="s">
        <x:v>116</x:v>
      </x:c>
      <x:c r="E32" s="25" t="s">
        <x:v>117</x:v>
      </x:c>
      <x:c r="F32" s="29" t="n">
        <x:v>31</x:v>
      </x:c>
      <x:c r="G32" s="23" t="str">
        <x:v>查询深圳大梅沙D-HRH站点下5G小区的小区名称和方位角</x:v>
      </x:c>
      <x:c r="H32" s="27" t="n">
        <x:v>8082.736</x:v>
      </x:c>
      <x:c r="I32" s="27" t="n">
        <x:v>5422.004</x:v>
      </x:c>
      <x:c r="J32" s="27"/>
      <x:c r="K32" s="27"/>
      <x:c r="L32" s="27" t="n">
        <x:v>3084.275</x:v>
      </x:c>
      <x:c r="M32" s="27"/>
      <x:c r="N32" s="27"/>
      <x:c r="O32" s="27"/>
      <x:c r="P32" s="27"/>
      <x:c r="Q32" s="27"/>
      <x:c r="R32" s="27"/>
      <x:c r="S32" s="27"/>
      <x:c r="T32" s="27" t="n">
        <x:v>1305.668</x:v>
      </x:c>
      <x:c r="U32" s="27"/>
      <x:c r="V32" s="27"/>
      <x:c r="W32" s="27"/>
      <x:c r="X32" s="27"/>
      <x:c r="Y32" s="27"/>
      <x:c r="Z32" s="27"/>
      <x:c r="AA32" s="27"/>
      <x:c r="AB32" s="27" t="n">
        <x:v>1959.6</x:v>
      </x:c>
      <x:c r="AC32" s="27" t="n">
        <x:v>5308.282</x:v>
      </x:c>
      <x:c r="AD32" s="27" t="n">
        <x:v>5498.584</x:v>
      </x:c>
      <x:c r="AE32" s="27"/>
      <x:c r="AF32" s="27"/>
      <x:c r="AG32" s="27"/>
      <x:c r="AH32" s="27"/>
      <x:c r="AI32" s="27"/>
      <x:c r="AJ32" s="27"/>
      <x:c r="AK32" s="27"/>
      <x:c r="AL32" s="27"/>
      <x:c r="AM32" s="27"/>
      <x:c r="AN32" s="27"/>
      <x:c r="AO32" s="27"/>
      <x:c r="AP32" s="27" t="n">
        <x:f>SUMIF('调用明细'!$A$2:$A$498,F32,'调用明细'!$H$2:$H$498)</x:f>
        <x:v>30661.148999999998</x:v>
      </x:c>
      <x:c r="AQ32" s="27" t="n">
        <x:f>COUNTIF('调用明细'!$A$2:$A$498,F32)</x:f>
        <x:v>7</x:v>
      </x:c>
      <x:c r="AR32" s="23" t="str">
        <x:v>完整</x:v>
      </x:c>
    </x:row>
    <x:row r="33" ht="42" customHeight="1">
      <x:c r="A33" s="23" t="s">
        <x:v>44</x:v>
      </x:c>
      <x:c r="B33" s="23" t="s">
        <x:v>49</x:v>
      </x:c>
      <x:c r="C33" s="23" t="s">
        <x:v>118</x:v>
      </x:c>
      <x:c r="D33" s="25" t="s">
        <x:v>119</x:v>
      </x:c>
      <x:c r="E33" s="25" t="s">
        <x:v>120</x:v>
      </x:c>
      <x:c r="F33" s="29" t="n">
        <x:v>32</x:v>
      </x:c>
      <x:c r="G33" s="23" t="str">
        <x:v>查询NR小区CBN-深圳大梅沙二U-H5H-0712的机械下倾角和电子下倾角</x:v>
      </x:c>
      <x:c r="H33" s="27" t="n">
        <x:v>5435.818</x:v>
      </x:c>
      <x:c r="I33" s="27" t="n">
        <x:v>5172.708</x:v>
      </x:c>
      <x:c r="J33" s="27"/>
      <x:c r="K33" s="27"/>
      <x:c r="L33" s="27" t="n">
        <x:v>3262.846</x:v>
      </x:c>
      <x:c r="M33" s="27"/>
      <x:c r="N33" s="27"/>
      <x:c r="O33" s="27"/>
      <x:c r="P33" s="27"/>
      <x:c r="Q33" s="27"/>
      <x:c r="R33" s="27"/>
      <x:c r="S33" s="27"/>
      <x:c r="T33" s="27" t="n">
        <x:v>1424.599</x:v>
      </x:c>
      <x:c r="U33" s="27"/>
      <x:c r="V33" s="27"/>
      <x:c r="W33" s="27"/>
      <x:c r="X33" s="27"/>
      <x:c r="Y33" s="27"/>
      <x:c r="Z33" s="27"/>
      <x:c r="AA33" s="27"/>
      <x:c r="AB33" s="27" t="n">
        <x:v>1520.379</x:v>
      </x:c>
      <x:c r="AC33" s="27" t="n">
        <x:v>7607.79</x:v>
      </x:c>
      <x:c r="AD33" s="27" t="n">
        <x:v>5360.567</x:v>
      </x:c>
      <x:c r="AE33" s="27"/>
      <x:c r="AF33" s="27"/>
      <x:c r="AG33" s="27"/>
      <x:c r="AH33" s="27"/>
      <x:c r="AI33" s="27"/>
      <x:c r="AJ33" s="27"/>
      <x:c r="AK33" s="27"/>
      <x:c r="AL33" s="27"/>
      <x:c r="AM33" s="27"/>
      <x:c r="AN33" s="27"/>
      <x:c r="AO33" s="27"/>
      <x:c r="AP33" s="27" t="n">
        <x:f>SUMIF('调用明细'!$A$2:$A$498,F33,'调用明细'!$H$2:$H$498)</x:f>
        <x:v>29784.707</x:v>
      </x:c>
      <x:c r="AQ33" s="27" t="n">
        <x:f>COUNTIF('调用明细'!$A$2:$A$498,F33)</x:f>
        <x:v>7</x:v>
      </x:c>
      <x:c r="AR33" s="23" t="str">
        <x:v>完整</x:v>
      </x:c>
    </x:row>
    <x:row r="34" ht="42" customHeight="1">
      <x:c r="A34" s="23" t="s">
        <x:v>44</x:v>
      </x:c>
      <x:c r="B34" s="23" t="s">
        <x:v>53</x:v>
      </x:c>
      <x:c r="C34" s="23" t="s">
        <x:v>121</x:v>
      </x:c>
      <x:c r="D34" s="25" t="s">
        <x:v>122</x:v>
      </x:c>
      <x:c r="E34" s="25" t="s">
        <x:v>123</x:v>
      </x:c>
      <x:c r="F34" s="29" t="n">
        <x:v>33</x:v>
      </x:c>
      <x:c r="G34" s="23" t="str">
        <x:v>查询深圳奥特莱斯D-HRH和深圳梅沙湾二D-HRH这两个站点下5G小区的站点名称、经度和纬度</x:v>
      </x:c>
      <x:c r="H34" s="27" t="n">
        <x:v>5807.398</x:v>
      </x:c>
      <x:c r="I34" s="27" t="n">
        <x:v>5176.605</x:v>
      </x:c>
      <x:c r="J34" s="27"/>
      <x:c r="K34" s="27"/>
      <x:c r="L34" s="27" t="n">
        <x:v>3565.301</x:v>
      </x:c>
      <x:c r="M34" s="27"/>
      <x:c r="N34" s="27"/>
      <x:c r="O34" s="27"/>
      <x:c r="P34" s="27"/>
      <x:c r="Q34" s="27"/>
      <x:c r="R34" s="27"/>
      <x:c r="S34" s="27"/>
      <x:c r="T34" s="27" t="n">
        <x:v>1361.507</x:v>
      </x:c>
      <x:c r="U34" s="27"/>
      <x:c r="V34" s="27"/>
      <x:c r="W34" s="27"/>
      <x:c r="X34" s="27"/>
      <x:c r="Y34" s="27"/>
      <x:c r="Z34" s="27"/>
      <x:c r="AA34" s="27"/>
      <x:c r="AB34" s="27" t="n">
        <x:v>2756.552</x:v>
      </x:c>
      <x:c r="AC34" s="27" t="n">
        <x:v>7183.675</x:v>
      </x:c>
      <x:c r="AD34" s="27" t="n">
        <x:v>10991.258</x:v>
      </x:c>
      <x:c r="AE34" s="27"/>
      <x:c r="AF34" s="27"/>
      <x:c r="AG34" s="27"/>
      <x:c r="AH34" s="27"/>
      <x:c r="AI34" s="27"/>
      <x:c r="AJ34" s="27"/>
      <x:c r="AK34" s="27"/>
      <x:c r="AL34" s="27"/>
      <x:c r="AM34" s="27"/>
      <x:c r="AN34" s="27"/>
      <x:c r="AO34" s="27"/>
      <x:c r="AP34" s="27" t="n">
        <x:f>SUMIF('调用明细'!$A$2:$A$498,F34,'调用明细'!$H$2:$H$498)</x:f>
        <x:v>36842.296</x:v>
      </x:c>
      <x:c r="AQ34" s="27" t="n">
        <x:f>COUNTIF('调用明细'!$A$2:$A$498,F34)</x:f>
        <x:v>7</x:v>
      </x:c>
      <x:c r="AR34" s="23" t="str">
        <x:v>完整</x:v>
      </x:c>
    </x:row>
    <x:row r="35" ht="42" customHeight="1">
      <x:c r="A35" s="23" t="s">
        <x:v>44</x:v>
      </x:c>
      <x:c r="B35" s="23" t="s">
        <x:v>124</x:v>
      </x:c>
      <x:c r="C35" s="23" t="s">
        <x:v>125</x:v>
      </x:c>
      <x:c r="D35" s="25" t="s">
        <x:v>126</x:v>
      </x:c>
      <x:c r="E35" s="25" t="s">
        <x:v>127</x:v>
      </x:c>
      <x:c r="F35" s="29" t="n">
        <x:v>34</x:v>
      </x:c>
      <x:c r="G35" s="23" t="str">
        <x:v>查询5G小区 CBN-福州仓山-福州火车南站C-HRHH-521 的小区标识（Cell ID/ECI）和移动网号（MCC/MNC/PLMN）</x:v>
      </x:c>
      <x:c r="H35" s="27" t="n">
        <x:v>10916.563</x:v>
      </x:c>
      <x:c r="I35" s="27" t="n">
        <x:v>5407.155</x:v>
      </x:c>
      <x:c r="J35" s="27"/>
      <x:c r="K35" s="27"/>
      <x:c r="L35" s="27" t="n">
        <x:v>3676.213</x:v>
      </x:c>
      <x:c r="M35" s="27"/>
      <x:c r="N35" s="27"/>
      <x:c r="O35" s="27"/>
      <x:c r="P35" s="27"/>
      <x:c r="Q35" s="27"/>
      <x:c r="R35" s="27"/>
      <x:c r="S35" s="27"/>
      <x:c r="T35" s="27" t="n">
        <x:v>1338.427</x:v>
      </x:c>
      <x:c r="U35" s="27"/>
      <x:c r="V35" s="27"/>
      <x:c r="W35" s="27"/>
      <x:c r="X35" s="27"/>
      <x:c r="Y35" s="27"/>
      <x:c r="Z35" s="27"/>
      <x:c r="AA35" s="27"/>
      <x:c r="AB35" s="27" t="n">
        <x:v>1611.097</x:v>
      </x:c>
      <x:c r="AC35" s="27" t="n">
        <x:v>7982.426</x:v>
      </x:c>
      <x:c r="AD35" s="27" t="n">
        <x:v>7582.597</x:v>
      </x:c>
      <x:c r="AE35" s="27"/>
      <x:c r="AF35" s="27"/>
      <x:c r="AG35" s="27"/>
      <x:c r="AH35" s="27"/>
      <x:c r="AI35" s="27"/>
      <x:c r="AJ35" s="27"/>
      <x:c r="AK35" s="27"/>
      <x:c r="AL35" s="27"/>
      <x:c r="AM35" s="27"/>
      <x:c r="AN35" s="27"/>
      <x:c r="AO35" s="27"/>
      <x:c r="AP35" s="27" t="n">
        <x:f>SUMIF('调用明细'!$A$2:$A$498,F35,'调用明细'!$H$2:$H$498)</x:f>
        <x:v>38514.478</x:v>
      </x:c>
      <x:c r="AQ35" s="27" t="n">
        <x:f>COUNTIF('调用明细'!$A$2:$A$498,F35)</x:f>
        <x:v>7</x:v>
      </x:c>
      <x:c r="AR35" s="23" t="str">
        <x:v>完整</x:v>
      </x:c>
    </x:row>
    <x:row r="36" ht="42" customHeight="1">
      <x:c r="A36" s="23" t="s">
        <x:v>44</x:v>
      </x:c>
      <x:c r="B36" s="23" t="s">
        <x:v>57</x:v>
      </x:c>
      <x:c r="C36" s="23" t="s">
        <x:v>128</x:v>
      </x:c>
      <x:c r="D36" s="25" t="s">
        <x:v>129</x:v>
      </x:c>
      <x:c r="E36" s="25" t="s">
        <x:v>130</x:v>
      </x:c>
      <x:c r="F36" s="29" t="n">
        <x:v>35</x:v>
      </x:c>
      <x:c r="G36" s="23" t="str">
        <x:v>查询NR小区CBN-深圳上威梅沙二U-H5H-0711和CBN-深圳东华风车U-H5H-0711的方向角和天线高度（天线挂高）</x:v>
      </x:c>
      <x:c r="H36" s="27" t="n">
        <x:v>8348.185</x:v>
      </x:c>
      <x:c r="I36" s="27" t="n">
        <x:v>5344.458</x:v>
      </x:c>
      <x:c r="J36" s="27"/>
      <x:c r="K36" s="27"/>
      <x:c r="L36" s="27" t="n">
        <x:v>6476.397</x:v>
      </x:c>
      <x:c r="M36" s="27"/>
      <x:c r="N36" s="27"/>
      <x:c r="O36" s="27"/>
      <x:c r="P36" s="27"/>
      <x:c r="Q36" s="27"/>
      <x:c r="R36" s="27"/>
      <x:c r="S36" s="27"/>
      <x:c r="T36" s="27" t="n">
        <x:v>1692.066</x:v>
      </x:c>
      <x:c r="U36" s="27"/>
      <x:c r="V36" s="27"/>
      <x:c r="W36" s="27"/>
      <x:c r="X36" s="27"/>
      <x:c r="Y36" s="27"/>
      <x:c r="Z36" s="27"/>
      <x:c r="AA36" s="27"/>
      <x:c r="AB36" s="27" t="n">
        <x:v>1919.201</x:v>
      </x:c>
      <x:c r="AC36" s="27" t="n">
        <x:v>8136.535</x:v>
      </x:c>
      <x:c r="AD36" s="27" t="n">
        <x:v>5229.238</x:v>
      </x:c>
      <x:c r="AE36" s="27"/>
      <x:c r="AF36" s="27"/>
      <x:c r="AG36" s="27"/>
      <x:c r="AH36" s="27"/>
      <x:c r="AI36" s="27"/>
      <x:c r="AJ36" s="27"/>
      <x:c r="AK36" s="27"/>
      <x:c r="AL36" s="27"/>
      <x:c r="AM36" s="27"/>
      <x:c r="AN36" s="27"/>
      <x:c r="AO36" s="27"/>
      <x:c r="AP36" s="27" t="n">
        <x:f>SUMIF('调用明细'!$A$2:$A$498,F36,'调用明细'!$H$2:$H$498)</x:f>
        <x:v>37146.08</x:v>
      </x:c>
      <x:c r="AQ36" s="27" t="n">
        <x:f>COUNTIF('调用明细'!$A$2:$A$498,F36)</x:f>
        <x:v>7</x:v>
      </x:c>
      <x:c r="AR36" s="23" t="str">
        <x:v>完整</x:v>
      </x:c>
    </x:row>
    <x:row r="37" ht="42" customHeight="1">
      <x:c r="A37" s="23" t="s">
        <x:v>64</x:v>
      </x:c>
      <x:c r="B37" s="23" t="s">
        <x:v>65</x:v>
      </x:c>
      <x:c r="C37" s="23" t="s">
        <x:v>131</x:v>
      </x:c>
      <x:c r="D37" s="25" t="s">
        <x:v>132</x:v>
      </x:c>
      <x:c r="E37" s="25" t="s">
        <x:v>68</x:v>
      </x:c>
      <x:c r="F37" s="29" t="n">
        <x:v>36</x:v>
      </x:c>
      <x:c r="G37" s="23" t="str">
        <x:v>查询深圳大梅沙海滨公园D-HRW站点下，天线高度超过30米的小区，返回小区名称、天线高度和方位角</x:v>
      </x:c>
      <x:c r="H37" s="27" t="n">
        <x:v>5445.73</x:v>
      </x:c>
      <x:c r="I37" s="27" t="n">
        <x:v>7872.576</x:v>
      </x:c>
      <x:c r="J37" s="27"/>
      <x:c r="K37" s="27"/>
      <x:c r="L37" s="27" t="n">
        <x:v>3710.386</x:v>
      </x:c>
      <x:c r="M37" s="27"/>
      <x:c r="N37" s="27"/>
      <x:c r="O37" s="27"/>
      <x:c r="P37" s="27"/>
      <x:c r="Q37" s="27"/>
      <x:c r="R37" s="27"/>
      <x:c r="S37" s="27"/>
      <x:c r="T37" s="27" t="n">
        <x:v>1205.075</x:v>
      </x:c>
      <x:c r="U37" s="27"/>
      <x:c r="V37" s="27"/>
      <x:c r="W37" s="27"/>
      <x:c r="X37" s="27"/>
      <x:c r="Y37" s="27"/>
      <x:c r="Z37" s="27"/>
      <x:c r="AA37" s="27"/>
      <x:c r="AB37" s="27" t="n">
        <x:v>2310.539</x:v>
      </x:c>
      <x:c r="AC37" s="27" t="n">
        <x:v>8066.049</x:v>
      </x:c>
      <x:c r="AD37" s="27" t="n">
        <x:v>5144.033</x:v>
      </x:c>
      <x:c r="AE37" s="27"/>
      <x:c r="AF37" s="27"/>
      <x:c r="AG37" s="27"/>
      <x:c r="AH37" s="27"/>
      <x:c r="AI37" s="27"/>
      <x:c r="AJ37" s="27"/>
      <x:c r="AK37" s="27"/>
      <x:c r="AL37" s="27"/>
      <x:c r="AM37" s="27"/>
      <x:c r="AN37" s="27"/>
      <x:c r="AO37" s="27"/>
      <x:c r="AP37" s="27" t="n">
        <x:f>SUMIF('调用明细'!$A$2:$A$498,F37,'调用明细'!$H$2:$H$498)</x:f>
        <x:v>33754.388</x:v>
      </x:c>
      <x:c r="AQ37" s="27" t="n">
        <x:f>COUNTIF('调用明细'!$A$2:$A$498,F37)</x:f>
        <x:v>7</x:v>
      </x:c>
      <x:c r="AR37" s="23" t="str">
        <x:v>完整</x:v>
      </x:c>
    </x:row>
    <x:row r="38" ht="42" customHeight="1">
      <x:c r="A38" s="23" t="s">
        <x:v>64</x:v>
      </x:c>
      <x:c r="B38" s="23" t="s">
        <x:v>133</x:v>
      </x:c>
      <x:c r="C38" s="23" t="s">
        <x:v>134</x:v>
      </x:c>
      <x:c r="D38" s="25" t="s">
        <x:v>135</x:v>
      </x:c>
      <x:c r="E38" s="25" t="s">
        <x:v>136</x:v>
      </x:c>
      <x:c r="F38" s="29" t="n">
        <x:v>37</x:v>
      </x:c>
      <x:c r="G38" s="23" t="str">
        <x:v>查询小区CBN-福州仓山-火车南站东南美化塔C-HRHH-518和CBN-福州仓山-福厦高铁鸡笼山隧道C-HRRH-513的工程参数，包括机械下倾角</x:v>
      </x:c>
      <x:c r="H38" s="27" t="n">
        <x:v>6243.693</x:v>
      </x:c>
      <x:c r="I38" s="27" t="n">
        <x:v>9002.305</x:v>
      </x:c>
      <x:c r="J38" s="27"/>
      <x:c r="K38" s="27"/>
      <x:c r="L38" s="27" t="n">
        <x:v>4061.704</x:v>
      </x:c>
      <x:c r="M38" s="27"/>
      <x:c r="N38" s="27"/>
      <x:c r="O38" s="27"/>
      <x:c r="P38" s="27"/>
      <x:c r="Q38" s="27"/>
      <x:c r="R38" s="27"/>
      <x:c r="S38" s="27"/>
      <x:c r="T38" s="27" t="n">
        <x:v>1693.412</x:v>
      </x:c>
      <x:c r="U38" s="27"/>
      <x:c r="V38" s="27"/>
      <x:c r="W38" s="27"/>
      <x:c r="X38" s="27"/>
      <x:c r="Y38" s="27"/>
      <x:c r="Z38" s="27"/>
      <x:c r="AA38" s="27"/>
      <x:c r="AB38" s="27" t="n">
        <x:v>1670.008</x:v>
      </x:c>
      <x:c r="AC38" s="27" t="n">
        <x:v>8250.736</x:v>
      </x:c>
      <x:c r="AD38" s="27" t="n">
        <x:v>7526.768</x:v>
      </x:c>
      <x:c r="AE38" s="27"/>
      <x:c r="AF38" s="27"/>
      <x:c r="AG38" s="27"/>
      <x:c r="AH38" s="27"/>
      <x:c r="AI38" s="27"/>
      <x:c r="AJ38" s="27"/>
      <x:c r="AK38" s="27"/>
      <x:c r="AL38" s="27"/>
      <x:c r="AM38" s="27"/>
      <x:c r="AN38" s="27"/>
      <x:c r="AO38" s="27"/>
      <x:c r="AP38" s="27" t="n">
        <x:f>SUMIF('调用明细'!$A$2:$A$498,F38,'调用明细'!$H$2:$H$498)</x:f>
        <x:v>38448.626000000004</x:v>
      </x:c>
      <x:c r="AQ38" s="27" t="n">
        <x:f>COUNTIF('调用明细'!$A$2:$A$498,F38)</x:f>
        <x:v>7</x:v>
      </x:c>
      <x:c r="AR38" s="23" t="str">
        <x:v>完整</x:v>
      </x:c>
    </x:row>
    <x:row r="39" ht="42" customHeight="1">
      <x:c r="A39" s="23" t="s">
        <x:v>64</x:v>
      </x:c>
      <x:c r="B39" s="23" t="s">
        <x:v>137</x:v>
      </x:c>
      <x:c r="C39" s="23" t="s">
        <x:v>138</x:v>
      </x:c>
      <x:c r="D39" s="25" t="s">
        <x:v>139</x:v>
      </x:c>
      <x:c r="E39" s="25" t="s">
        <x:v>68</x:v>
      </x:c>
      <x:c r="F39" s="29" t="n">
        <x:v>38</x:v>
      </x:c>
      <x:c r="G39" s="23" t="str">
        <x:v>查询小区CBN-深圳梅沙湾U-H5H-0712的站点名称、方位角和电子下倾角</x:v>
      </x:c>
      <x:c r="H39" s="27" t="n">
        <x:v>8108.871</x:v>
      </x:c>
      <x:c r="I39" s="27" t="n">
        <x:v>5274.115</x:v>
      </x:c>
      <x:c r="J39" s="27"/>
      <x:c r="K39" s="27"/>
      <x:c r="L39" s="27" t="n">
        <x:v>3373.727</x:v>
      </x:c>
      <x:c r="M39" s="27"/>
      <x:c r="N39" s="27"/>
      <x:c r="O39" s="27"/>
      <x:c r="P39" s="27"/>
      <x:c r="Q39" s="27"/>
      <x:c r="R39" s="27"/>
      <x:c r="S39" s="27"/>
      <x:c r="T39" s="27" t="n">
        <x:v>1290.959</x:v>
      </x:c>
      <x:c r="U39" s="27"/>
      <x:c r="V39" s="27"/>
      <x:c r="W39" s="27"/>
      <x:c r="X39" s="27"/>
      <x:c r="Y39" s="27"/>
      <x:c r="Z39" s="27"/>
      <x:c r="AA39" s="27"/>
      <x:c r="AB39" s="27" t="n">
        <x:v>1567.545</x:v>
      </x:c>
      <x:c r="AC39" s="27" t="n">
        <x:v>5806.932</x:v>
      </x:c>
      <x:c r="AD39" s="27" t="n">
        <x:v>5423.695</x:v>
      </x:c>
      <x:c r="AE39" s="27"/>
      <x:c r="AF39" s="27"/>
      <x:c r="AG39" s="27"/>
      <x:c r="AH39" s="27"/>
      <x:c r="AI39" s="27"/>
      <x:c r="AJ39" s="27"/>
      <x:c r="AK39" s="27"/>
      <x:c r="AL39" s="27"/>
      <x:c r="AM39" s="27"/>
      <x:c r="AN39" s="27"/>
      <x:c r="AO39" s="27"/>
      <x:c r="AP39" s="27" t="n">
        <x:f>SUMIF('调用明细'!$A$2:$A$498,F39,'调用明细'!$H$2:$H$498)</x:f>
        <x:v>30845.843999999997</x:v>
      </x:c>
      <x:c r="AQ39" s="27" t="n">
        <x:f>COUNTIF('调用明细'!$A$2:$A$498,F39)</x:f>
        <x:v>7</x:v>
      </x:c>
      <x:c r="AR39" s="23" t="str">
        <x:v>完整</x:v>
      </x:c>
    </x:row>
    <x:row r="40" ht="42" customHeight="1">
      <x:c r="A40" s="23" t="s">
        <x:v>64</x:v>
      </x:c>
      <x:c r="B40" s="23" t="s">
        <x:v>140</x:v>
      </x:c>
      <x:c r="C40" s="23" t="s">
        <x:v>141</x:v>
      </x:c>
      <x:c r="D40" s="25" t="s">
        <x:v>142</x:v>
      </x:c>
      <x:c r="E40" s="25" t="s">
        <x:v>68</x:v>
      </x:c>
      <x:c r="F40" s="29" t="n">
        <x:v>39</x:v>
      </x:c>
      <x:c r="G40" s="23" t="str">
        <x:v>查询深圳东海岸三D-HRH和深圳奥特莱斯D-HRH这两个站点下，NR制式中方位角为90或270的小区，返回小区名称和方位角</x:v>
      </x:c>
      <x:c r="H40" s="27" t="n">
        <x:v>5774.95</x:v>
      </x:c>
      <x:c r="I40" s="27" t="n">
        <x:v>5547.091</x:v>
      </x:c>
      <x:c r="J40" s="27"/>
      <x:c r="K40" s="27"/>
      <x:c r="L40" s="27" t="n">
        <x:v>3821.722</x:v>
      </x:c>
      <x:c r="M40" s="27"/>
      <x:c r="N40" s="27"/>
      <x:c r="O40" s="27"/>
      <x:c r="P40" s="27"/>
      <x:c r="Q40" s="27"/>
      <x:c r="R40" s="27"/>
      <x:c r="S40" s="27"/>
      <x:c r="T40" s="27" t="n">
        <x:v>1627.263</x:v>
      </x:c>
      <x:c r="U40" s="27"/>
      <x:c r="V40" s="27"/>
      <x:c r="W40" s="27"/>
      <x:c r="X40" s="27"/>
      <x:c r="Y40" s="27"/>
      <x:c r="Z40" s="27"/>
      <x:c r="AA40" s="27"/>
      <x:c r="AB40" s="27" t="n">
        <x:v>2491.08</x:v>
      </x:c>
      <x:c r="AC40" s="27" t="n">
        <x:v>6074.421</x:v>
      </x:c>
      <x:c r="AD40" s="27" t="n">
        <x:v>5734.9</x:v>
      </x:c>
      <x:c r="AE40" s="27"/>
      <x:c r="AF40" s="27"/>
      <x:c r="AG40" s="27"/>
      <x:c r="AH40" s="27"/>
      <x:c r="AI40" s="27"/>
      <x:c r="AJ40" s="27"/>
      <x:c r="AK40" s="27"/>
      <x:c r="AL40" s="27"/>
      <x:c r="AM40" s="27"/>
      <x:c r="AN40" s="27"/>
      <x:c r="AO40" s="27"/>
      <x:c r="AP40" s="27" t="n">
        <x:f>SUMIF('调用明细'!$A$2:$A$498,F40,'调用明细'!$H$2:$H$498)</x:f>
        <x:v>31071.427000000003</x:v>
      </x:c>
      <x:c r="AQ40" s="27" t="n">
        <x:f>COUNTIF('调用明细'!$A$2:$A$498,F40)</x:f>
        <x:v>7</x:v>
      </x:c>
      <x:c r="AR40" s="23" t="str">
        <x:v>完整</x:v>
      </x:c>
    </x:row>
    <x:row r="41" ht="42" customHeight="1">
      <x:c r="A41" s="23" t="s">
        <x:v>64</x:v>
      </x:c>
      <x:c r="B41" s="23" t="s">
        <x:v>143</x:v>
      </x:c>
      <x:c r="C41" s="23" t="s">
        <x:v>144</x:v>
      </x:c>
      <x:c r="D41" s="25" t="s">
        <x:v>145</x:v>
      </x:c>
      <x:c r="E41" s="25" t="s">
        <x:v>146</x:v>
      </x:c>
      <x:c r="F41" s="29" t="n">
        <x:v>40</x:v>
      </x:c>
      <x:c r="G41" s="23" t="str">
        <x:v>查询CBN-福州晋安-东浦新村4号楼C-HRHH-512小区的工程参数，返回小区名称、天线高度和经度，排除天线高度等于20米的数据</x:v>
      </x:c>
      <x:c r="H41" s="27" t="n">
        <x:v>5735.752</x:v>
      </x:c>
      <x:c r="I41" s="27" t="n">
        <x:v>6128.734</x:v>
      </x:c>
      <x:c r="J41" s="27"/>
      <x:c r="K41" s="27"/>
      <x:c r="L41" s="27" t="n">
        <x:v>3704.983</x:v>
      </x:c>
      <x:c r="M41" s="27"/>
      <x:c r="N41" s="27"/>
      <x:c r="O41" s="27"/>
      <x:c r="P41" s="27"/>
      <x:c r="Q41" s="27"/>
      <x:c r="R41" s="27"/>
      <x:c r="S41" s="27"/>
      <x:c r="T41" s="27" t="n">
        <x:v>1591.004</x:v>
      </x:c>
      <x:c r="U41" s="27"/>
      <x:c r="V41" s="27"/>
      <x:c r="W41" s="27"/>
      <x:c r="X41" s="27"/>
      <x:c r="Y41" s="27"/>
      <x:c r="Z41" s="27"/>
      <x:c r="AA41" s="27"/>
      <x:c r="AB41" s="27" t="n">
        <x:v>2431.601</x:v>
      </x:c>
      <x:c r="AC41" s="27" t="n">
        <x:v>5851.175</x:v>
      </x:c>
      <x:c r="AD41" s="27" t="n">
        <x:v>8484.467</x:v>
      </x:c>
      <x:c r="AE41" s="27"/>
      <x:c r="AF41" s="27"/>
      <x:c r="AG41" s="27"/>
      <x:c r="AH41" s="27"/>
      <x:c r="AI41" s="27"/>
      <x:c r="AJ41" s="27"/>
      <x:c r="AK41" s="27"/>
      <x:c r="AL41" s="27"/>
      <x:c r="AM41" s="27"/>
      <x:c r="AN41" s="27"/>
      <x:c r="AO41" s="27"/>
      <x:c r="AP41" s="27" t="n">
        <x:f>SUMIF('调用明细'!$A$2:$A$498,F41,'调用明细'!$H$2:$H$498)</x:f>
        <x:v>33927.716</x:v>
      </x:c>
      <x:c r="AQ41" s="27" t="n">
        <x:f>COUNTIF('调用明细'!$A$2:$A$498,F41)</x:f>
        <x:v>7</x:v>
      </x:c>
      <x:c r="AR41" s="23" t="str">
        <x:v>完整</x:v>
      </x:c>
    </x:row>
    <x:row r="42" ht="42" customHeight="1">
      <x:c r="A42" s="23" t="s">
        <x:v>5</x:v>
      </x:c>
      <x:c r="B42" s="23" t="s">
        <x:v>147</x:v>
      </x:c>
      <x:c r="C42" s="23" t="s">
        <x:v>148</x:v>
      </x:c>
      <x:c r="D42" s="25" t="s">
        <x:v>149</x:v>
      </x:c>
      <x:c r="E42" s="25" t="s">
        <x:v>150</x:v>
      </x:c>
      <x:c r="F42" s="29" t="n">
        <x:v>41</x:v>
      </x:c>
      <x:c r="G42" s="23" t="str">
        <x:v>查询深圳奥特莱斯D-HRH-1小区的方位角和天线高度</x:v>
      </x:c>
      <x:c r="H42" s="27" t="n">
        <x:v>7990.839</x:v>
      </x:c>
      <x:c r="I42" s="27" t="n">
        <x:v>5072.02</x:v>
      </x:c>
      <x:c r="J42" s="27"/>
      <x:c r="K42" s="27"/>
      <x:c r="L42" s="27" t="n">
        <x:v>2922.909</x:v>
      </x:c>
      <x:c r="M42" s="27"/>
      <x:c r="N42" s="27"/>
      <x:c r="O42" s="27"/>
      <x:c r="P42" s="27"/>
      <x:c r="Q42" s="27"/>
      <x:c r="R42" s="27"/>
      <x:c r="S42" s="27"/>
      <x:c r="T42" s="27" t="n">
        <x:v>1251.555</x:v>
      </x:c>
      <x:c r="U42" s="27"/>
      <x:c r="V42" s="27"/>
      <x:c r="W42" s="27"/>
      <x:c r="X42" s="27"/>
      <x:c r="Y42" s="27"/>
      <x:c r="Z42" s="27"/>
      <x:c r="AA42" s="27"/>
      <x:c r="AB42" s="27" t="n">
        <x:v>1355.746</x:v>
      </x:c>
      <x:c r="AC42" s="27" t="n">
        <x:v>4546.109</x:v>
      </x:c>
      <x:c r="AD42" s="27" t="n">
        <x:v>5036.05</x:v>
      </x:c>
      <x:c r="AE42" s="27"/>
      <x:c r="AF42" s="27"/>
      <x:c r="AG42" s="27"/>
      <x:c r="AH42" s="27"/>
      <x:c r="AI42" s="27"/>
      <x:c r="AJ42" s="27"/>
      <x:c r="AK42" s="27"/>
      <x:c r="AL42" s="27"/>
      <x:c r="AM42" s="27"/>
      <x:c r="AN42" s="27"/>
      <x:c r="AO42" s="27"/>
      <x:c r="AP42" s="27" t="n">
        <x:f>SUMIF('调用明细'!$A$2:$A$498,F42,'调用明细'!$H$2:$H$498)</x:f>
        <x:v>28175.228</x:v>
      </x:c>
      <x:c r="AQ42" s="27" t="n">
        <x:f>COUNTIF('调用明细'!$A$2:$A$498,F42)</x:f>
        <x:v>7</x:v>
      </x:c>
      <x:c r="AR42" s="23" t="str">
        <x:v>完整</x:v>
      </x:c>
    </x:row>
    <x:row r="43" ht="42" customHeight="1">
      <x:c r="A43" s="23" t="s">
        <x:v>5</x:v>
      </x:c>
      <x:c r="B43" s="23" t="s">
        <x:v>151</x:v>
      </x:c>
      <x:c r="C43" s="23" t="s">
        <x:v>152</x:v>
      </x:c>
      <x:c r="D43" s="25" t="s">
        <x:v>153</x:v>
      </x:c>
      <x:c r="E43" s="25" t="s">
        <x:v>154</x:v>
      </x:c>
      <x:c r="F43" s="29" t="n">
        <x:v>42</x:v>
      </x:c>
      <x:c r="G43" s="23" t="str">
        <x:v>查询站点CBN-深圳梅沙湾二U-H5H下的小区名称和经度</x:v>
      </x:c>
      <x:c r="H43" s="27" t="n">
        <x:v>5533.898</x:v>
      </x:c>
      <x:c r="I43" s="27" t="n">
        <x:v>5122.132</x:v>
      </x:c>
      <x:c r="J43" s="27"/>
      <x:c r="K43" s="27"/>
      <x:c r="L43" s="27" t="n">
        <x:v>3217.071</x:v>
      </x:c>
      <x:c r="M43" s="27"/>
      <x:c r="N43" s="27"/>
      <x:c r="O43" s="27"/>
      <x:c r="P43" s="27"/>
      <x:c r="Q43" s="27"/>
      <x:c r="R43" s="27"/>
      <x:c r="S43" s="27"/>
      <x:c r="T43" s="27" t="n">
        <x:v>1245.176</x:v>
      </x:c>
      <x:c r="U43" s="27"/>
      <x:c r="V43" s="27"/>
      <x:c r="W43" s="27"/>
      <x:c r="X43" s="27"/>
      <x:c r="Y43" s="27"/>
      <x:c r="Z43" s="27"/>
      <x:c r="AA43" s="27"/>
      <x:c r="AB43" s="27" t="n">
        <x:v>2012.136</x:v>
      </x:c>
      <x:c r="AC43" s="27" t="n">
        <x:v>8052.091</x:v>
      </x:c>
      <x:c r="AD43" s="27" t="n">
        <x:v>4902.161</x:v>
      </x:c>
      <x:c r="AE43" s="27"/>
      <x:c r="AF43" s="27"/>
      <x:c r="AG43" s="27"/>
      <x:c r="AH43" s="27"/>
      <x:c r="AI43" s="27"/>
      <x:c r="AJ43" s="27"/>
      <x:c r="AK43" s="27"/>
      <x:c r="AL43" s="27"/>
      <x:c r="AM43" s="27"/>
      <x:c r="AN43" s="27"/>
      <x:c r="AO43" s="27"/>
      <x:c r="AP43" s="27" t="n">
        <x:f>SUMIF('调用明细'!$A$2:$A$498,F43,'调用明细'!$H$2:$H$498)</x:f>
        <x:v>30084.664999999997</x:v>
      </x:c>
      <x:c r="AQ43" s="27" t="n">
        <x:f>COUNTIF('调用明细'!$A$2:$A$498,F43)</x:f>
        <x:v>7</x:v>
      </x:c>
      <x:c r="AR43" s="23" t="str">
        <x:v>完整</x:v>
      </x:c>
    </x:row>
    <x:row r="44" ht="42" customHeight="1">
      <x:c r="A44" s="23" t="s">
        <x:v>5</x:v>
      </x:c>
      <x:c r="B44" s="23" t="s">
        <x:v>155</x:v>
      </x:c>
      <x:c r="C44" s="23" t="s">
        <x:v>156</x:v>
      </x:c>
      <x:c r="D44" s="25" t="s">
        <x:v>157</x:v>
      </x:c>
      <x:c r="E44" s="25" t="s">
        <x:v>158</x:v>
      </x:c>
      <x:c r="F44" s="29" t="n">
        <x:v>43</x:v>
      </x:c>
      <x:c r="G44" s="23" t="str">
        <x:v>查询小区CBN-福州晋安-东浦新村4号楼C-HRHH-513的电子下倾角和基站标识</x:v>
      </x:c>
      <x:c r="H44" s="27" t="n">
        <x:v>5505.762</x:v>
      </x:c>
      <x:c r="I44" s="27" t="n">
        <x:v>5344.793</x:v>
      </x:c>
      <x:c r="J44" s="27"/>
      <x:c r="K44" s="27"/>
      <x:c r="L44" s="27" t="n">
        <x:v>3257.912</x:v>
      </x:c>
      <x:c r="M44" s="27"/>
      <x:c r="N44" s="27"/>
      <x:c r="O44" s="27"/>
      <x:c r="P44" s="27"/>
      <x:c r="Q44" s="27"/>
      <x:c r="R44" s="27"/>
      <x:c r="S44" s="27"/>
      <x:c r="T44" s="27" t="n">
        <x:v>1266.396</x:v>
      </x:c>
      <x:c r="U44" s="27"/>
      <x:c r="V44" s="27"/>
      <x:c r="W44" s="27"/>
      <x:c r="X44" s="27"/>
      <x:c r="Y44" s="27"/>
      <x:c r="Z44" s="27"/>
      <x:c r="AA44" s="27"/>
      <x:c r="AB44" s="27" t="n">
        <x:v>1608.676</x:v>
      </x:c>
      <x:c r="AC44" s="27" t="n">
        <x:v>4247.021</x:v>
      </x:c>
      <x:c r="AD44" s="27" t="n">
        <x:v>5060.913</x:v>
      </x:c>
      <x:c r="AE44" s="27"/>
      <x:c r="AF44" s="27"/>
      <x:c r="AG44" s="27"/>
      <x:c r="AH44" s="27"/>
      <x:c r="AI44" s="27"/>
      <x:c r="AJ44" s="27"/>
      <x:c r="AK44" s="27"/>
      <x:c r="AL44" s="27"/>
      <x:c r="AM44" s="27"/>
      <x:c r="AN44" s="27"/>
      <x:c r="AO44" s="27"/>
      <x:c r="AP44" s="27" t="n">
        <x:f>SUMIF('调用明细'!$A$2:$A$498,F44,'调用明细'!$H$2:$H$498)</x:f>
        <x:v>26291.473</x:v>
      </x:c>
      <x:c r="AQ44" s="27" t="n">
        <x:f>COUNTIF('调用明细'!$A$2:$A$498,F44)</x:f>
        <x:v>7</x:v>
      </x:c>
      <x:c r="AR44" s="23" t="str">
        <x:v>完整</x:v>
      </x:c>
    </x:row>
    <x:row r="45" ht="42" customHeight="1">
      <x:c r="A45" s="23" t="s">
        <x:v>5</x:v>
      </x:c>
      <x:c r="B45" s="23" t="s">
        <x:v>159</x:v>
      </x:c>
      <x:c r="C45" s="23" t="s">
        <x:v>160</x:v>
      </x:c>
      <x:c r="D45" s="25" t="s">
        <x:v>161</x:v>
      </x:c>
      <x:c r="E45" s="25" t="s">
        <x:v>162</x:v>
      </x:c>
      <x:c r="F45" s="29" t="n">
        <x:v>44</x:v>
      </x:c>
      <x:c r="G45" s="23" t="str">
        <x:v>查询深圳大梅沙D-HRH-1小区的CGI和站点名称</x:v>
      </x:c>
      <x:c r="H45" s="27" t="n">
        <x:v>5182.55</x:v>
      </x:c>
      <x:c r="I45" s="27" t="n">
        <x:v>7638.049</x:v>
      </x:c>
      <x:c r="J45" s="27"/>
      <x:c r="K45" s="27"/>
      <x:c r="L45" s="27" t="n">
        <x:v>3014.788</x:v>
      </x:c>
      <x:c r="M45" s="27"/>
      <x:c r="N45" s="27"/>
      <x:c r="O45" s="27"/>
      <x:c r="P45" s="27"/>
      <x:c r="Q45" s="27"/>
      <x:c r="R45" s="27"/>
      <x:c r="S45" s="27"/>
      <x:c r="T45" s="27" t="n">
        <x:v>1221.708</x:v>
      </x:c>
      <x:c r="U45" s="27"/>
      <x:c r="V45" s="27"/>
      <x:c r="W45" s="27"/>
      <x:c r="X45" s="27"/>
      <x:c r="Y45" s="27"/>
      <x:c r="Z45" s="27"/>
      <x:c r="AA45" s="27"/>
      <x:c r="AB45" s="27" t="n">
        <x:v>1456.304</x:v>
      </x:c>
      <x:c r="AC45" s="27" t="n">
        <x:v>4387.918</x:v>
      </x:c>
      <x:c r="AD45" s="27" t="n">
        <x:v>4948.71</x:v>
      </x:c>
      <x:c r="AE45" s="27"/>
      <x:c r="AF45" s="27"/>
      <x:c r="AG45" s="27"/>
      <x:c r="AH45" s="27"/>
      <x:c r="AI45" s="27"/>
      <x:c r="AJ45" s="27"/>
      <x:c r="AK45" s="27"/>
      <x:c r="AL45" s="27"/>
      <x:c r="AM45" s="27"/>
      <x:c r="AN45" s="27"/>
      <x:c r="AO45" s="27"/>
      <x:c r="AP45" s="27" t="n">
        <x:f>SUMIF('调用明细'!$A$2:$A$498,F45,'调用明细'!$H$2:$H$498)</x:f>
        <x:v>27850.027000000002</x:v>
      </x:c>
      <x:c r="AQ45" s="27" t="n">
        <x:f>COUNTIF('调用明细'!$A$2:$A$498,F45)</x:f>
        <x:v>7</x:v>
      </x:c>
      <x:c r="AR45" s="23" t="str">
        <x:v>完整</x:v>
      </x:c>
    </x:row>
    <x:row r="46" ht="42" customHeight="1">
      <x:c r="A46" s="23" t="s">
        <x:v>5</x:v>
      </x:c>
      <x:c r="B46" s="23" t="s">
        <x:v>163</x:v>
      </x:c>
      <x:c r="C46" s="23" t="s">
        <x:v>164</x:v>
      </x:c>
      <x:c r="D46" s="25" t="s">
        <x:v>165</x:v>
      </x:c>
      <x:c r="E46" s="25" t="s">
        <x:v>166</x:v>
      </x:c>
      <x:c r="F46" s="29" t="n">
        <x:v>45</x:v>
      </x:c>
      <x:c r="G46" s="23" t="str">
        <x:v>查询深圳东华风车D-HRH站点下小区的方位角和移动网号</x:v>
      </x:c>
      <x:c r="H46" s="27" t="n">
        <x:v>5418.058</x:v>
      </x:c>
      <x:c r="I46" s="27" t="n">
        <x:v>5231.274</x:v>
      </x:c>
      <x:c r="J46" s="27"/>
      <x:c r="K46" s="27"/>
      <x:c r="L46" s="27" t="n">
        <x:v>3130.204</x:v>
      </x:c>
      <x:c r="M46" s="27"/>
      <x:c r="N46" s="27"/>
      <x:c r="O46" s="27"/>
      <x:c r="P46" s="27"/>
      <x:c r="Q46" s="27"/>
      <x:c r="R46" s="27"/>
      <x:c r="S46" s="27"/>
      <x:c r="T46" s="27" t="n">
        <x:v>1221.304</x:v>
      </x:c>
      <x:c r="U46" s="27"/>
      <x:c r="V46" s="27"/>
      <x:c r="W46" s="27"/>
      <x:c r="X46" s="27"/>
      <x:c r="Y46" s="27"/>
      <x:c r="Z46" s="27"/>
      <x:c r="AA46" s="27"/>
      <x:c r="AB46" s="27" t="n">
        <x:v>1576.431</x:v>
      </x:c>
      <x:c r="AC46" s="27" t="n">
        <x:v>7420.309</x:v>
      </x:c>
      <x:c r="AD46" s="27" t="n">
        <x:v>5085.642</x:v>
      </x:c>
      <x:c r="AE46" s="27"/>
      <x:c r="AF46" s="27"/>
      <x:c r="AG46" s="27"/>
      <x:c r="AH46" s="27"/>
      <x:c r="AI46" s="27"/>
      <x:c r="AJ46" s="27"/>
      <x:c r="AK46" s="27"/>
      <x:c r="AL46" s="27"/>
      <x:c r="AM46" s="27"/>
      <x:c r="AN46" s="27"/>
      <x:c r="AO46" s="27"/>
      <x:c r="AP46" s="27" t="n">
        <x:f>SUMIF('调用明细'!$A$2:$A$498,F46,'调用明细'!$H$2:$H$498)</x:f>
        <x:v>29083.222</x:v>
      </x:c>
      <x:c r="AQ46" s="27" t="n">
        <x:f>COUNTIF('调用明细'!$A$2:$A$498,F46)</x:f>
        <x:v>7</x:v>
      </x:c>
      <x:c r="AR46" s="23" t="str">
        <x:v>完整</x:v>
      </x:c>
    </x:row>
    <x:row r="47" ht="42" customHeight="1">
      <x:c r="A47" s="23" t="s">
        <x:v>26</x:v>
      </x:c>
      <x:c r="B47" s="23" t="s">
        <x:v>27</x:v>
      </x:c>
      <x:c r="C47" s="23" t="s">
        <x:v>167</x:v>
      </x:c>
      <x:c r="D47" s="25" t="s">
        <x:v>168</x:v>
      </x:c>
      <x:c r="E47" s="25" t="s">
        <x:v>169</x:v>
      </x:c>
      <x:c r="F47" s="29" t="n">
        <x:v>46</x:v>
      </x:c>
      <x:c r="G47" s="23" t="str">
        <x:v>查询深圳梅沙湾D-HRH-3和深圳梅沙湾二D-HRH-1这两个小区的方位角、电子下倾角以及设备厂商</x:v>
      </x:c>
      <x:c r="H47" s="27" t="n">
        <x:v>5646.144</x:v>
      </x:c>
      <x:c r="I47" s="27" t="n">
        <x:v>5540.234</x:v>
      </x:c>
      <x:c r="J47" s="27"/>
      <x:c r="K47" s="27"/>
      <x:c r="L47" s="27" t="n">
        <x:v>3424.359</x:v>
      </x:c>
      <x:c r="M47" s="27"/>
      <x:c r="N47" s="27"/>
      <x:c r="O47" s="27"/>
      <x:c r="P47" s="27"/>
      <x:c r="Q47" s="27"/>
      <x:c r="R47" s="27"/>
      <x:c r="S47" s="27"/>
      <x:c r="T47" s="27" t="n">
        <x:v>1304.091</x:v>
      </x:c>
      <x:c r="U47" s="27" t="n">
        <x:v>1656.621</x:v>
      </x:c>
      <x:c r="V47" s="27"/>
      <x:c r="W47" s="27"/>
      <x:c r="X47" s="27"/>
      <x:c r="Y47" s="27"/>
      <x:c r="Z47" s="27"/>
      <x:c r="AA47" s="27"/>
      <x:c r="AB47" s="27" t="n">
        <x:v>1699.642</x:v>
      </x:c>
      <x:c r="AC47" s="27" t="n">
        <x:v>5594.664</x:v>
      </x:c>
      <x:c r="AD47" s="27" t="n">
        <x:v>5248.179</x:v>
      </x:c>
      <x:c r="AE47" s="27"/>
      <x:c r="AF47" s="27"/>
      <x:c r="AG47" s="27"/>
      <x:c r="AH47" s="27"/>
      <x:c r="AI47" s="27"/>
      <x:c r="AJ47" s="27"/>
      <x:c r="AK47" s="27"/>
      <x:c r="AL47" s="27"/>
      <x:c r="AM47" s="27"/>
      <x:c r="AN47" s="27"/>
      <x:c r="AO47" s="27"/>
      <x:c r="AP47" s="27" t="n">
        <x:f>SUMIF('调用明细'!$A$2:$A$498,F47,'调用明细'!$H$2:$H$498)</x:f>
        <x:v>30113.934</x:v>
      </x:c>
      <x:c r="AQ47" s="27" t="n">
        <x:f>COUNTIF('调用明细'!$A$2:$A$498,F47)</x:f>
        <x:v>8</x:v>
      </x:c>
      <x:c r="AR47" s="23" t="str">
        <x:v>完整</x:v>
      </x:c>
    </x:row>
    <x:row r="48" ht="42" customHeight="1">
      <x:c r="A48" s="23" t="s">
        <x:v>26</x:v>
      </x:c>
      <x:c r="B48" s="23" t="s">
        <x:v>31</x:v>
      </x:c>
      <x:c r="C48" s="23" t="s">
        <x:v>170</x:v>
      </x:c>
      <x:c r="D48" s="25" t="s">
        <x:v>171</x:v>
      </x:c>
      <x:c r="E48" s="25" t="s">
        <x:v>172</x:v>
      </x:c>
      <x:c r="F48" s="29" t="n">
        <x:v>47</x:v>
      </x:c>
      <x:c r="G48" s="23" t="str">
        <x:v>查询站点CBN-深圳大梅沙U-H5H和深圳大梅沙二D-HRH下所有小区的纬度、机械下倾角和小区标识</x:v>
      </x:c>
      <x:c r="H48" s="27" t="n">
        <x:v>5545.234</x:v>
      </x:c>
      <x:c r="I48" s="27" t="n">
        <x:v>5435.003</x:v>
      </x:c>
      <x:c r="J48" s="27"/>
      <x:c r="K48" s="27"/>
      <x:c r="L48" s="27" t="n">
        <x:v>3679.248</x:v>
      </x:c>
      <x:c r="M48" s="27"/>
      <x:c r="N48" s="27"/>
      <x:c r="O48" s="27"/>
      <x:c r="P48" s="27"/>
      <x:c r="Q48" s="27"/>
      <x:c r="R48" s="27"/>
      <x:c r="S48" s="27"/>
      <x:c r="T48" s="27" t="n">
        <x:v>1349.317</x:v>
      </x:c>
      <x:c r="U48" s="27"/>
      <x:c r="V48" s="27"/>
      <x:c r="W48" s="27"/>
      <x:c r="X48" s="27"/>
      <x:c r="Y48" s="27"/>
      <x:c r="Z48" s="27"/>
      <x:c r="AA48" s="27"/>
      <x:c r="AB48" s="27" t="n">
        <x:v>2751.647</x:v>
      </x:c>
      <x:c r="AC48" s="27" t="n">
        <x:v>8046.814</x:v>
      </x:c>
      <x:c r="AD48" s="27" t="n">
        <x:v>7965.348</x:v>
      </x:c>
      <x:c r="AE48" s="27"/>
      <x:c r="AF48" s="27"/>
      <x:c r="AG48" s="27"/>
      <x:c r="AH48" s="27"/>
      <x:c r="AI48" s="27"/>
      <x:c r="AJ48" s="27"/>
      <x:c r="AK48" s="27"/>
      <x:c r="AL48" s="27"/>
      <x:c r="AM48" s="27"/>
      <x:c r="AN48" s="27"/>
      <x:c r="AO48" s="27"/>
      <x:c r="AP48" s="27" t="n">
        <x:f>SUMIF('调用明细'!$A$2:$A$498,F48,'调用明细'!$H$2:$H$498)</x:f>
        <x:v>34772.611</x:v>
      </x:c>
      <x:c r="AQ48" s="27" t="n">
        <x:f>COUNTIF('调用明细'!$A$2:$A$498,F48)</x:f>
        <x:v>7</x:v>
      </x:c>
      <x:c r="AR48" s="23" t="str">
        <x:v>完整</x:v>
      </x:c>
    </x:row>
    <x:row r="49" ht="42" customHeight="1">
      <x:c r="A49" s="23" t="s">
        <x:v>26</x:v>
      </x:c>
      <x:c r="B49" s="23" t="s">
        <x:v>173</x:v>
      </x:c>
      <x:c r="C49" s="23" t="s">
        <x:v>174</x:v>
      </x:c>
      <x:c r="D49" s="25" t="s">
        <x:v>175</x:v>
      </x:c>
      <x:c r="E49" s="25" t="s">
        <x:v>176</x:v>
      </x:c>
      <x:c r="F49" s="29" t="n">
        <x:v>48</x:v>
      </x:c>
      <x:c r="G49" s="23" t="str">
        <x:v>查询CBN-福州仓山-福厦高铁鸡笼山隧道C-HRRH-513、CBN-福州仓山-火车南站东南美化塔C-HRHH-518和CBN-福州仓山-永南路与站后路交叉口C-HRHH-516这三个小区的基站标识、移动网号和天线高度</x:v>
      </x:c>
      <x:c r="H49" s="27" t="n">
        <x:v>9222.03</x:v>
      </x:c>
      <x:c r="I49" s="27" t="n">
        <x:v>8986.254</x:v>
      </x:c>
      <x:c r="J49" s="27"/>
      <x:c r="K49" s="27"/>
      <x:c r="L49" s="27" t="n">
        <x:v>5206.481</x:v>
      </x:c>
      <x:c r="M49" s="27"/>
      <x:c r="N49" s="27"/>
      <x:c r="O49" s="27"/>
      <x:c r="P49" s="27"/>
      <x:c r="Q49" s="27"/>
      <x:c r="R49" s="27"/>
      <x:c r="S49" s="27"/>
      <x:c r="T49" s="27" t="n">
        <x:v>1884.231</x:v>
      </x:c>
      <x:c r="U49" s="27"/>
      <x:c r="V49" s="27"/>
      <x:c r="W49" s="27"/>
      <x:c r="X49" s="27"/>
      <x:c r="Y49" s="27"/>
      <x:c r="Z49" s="27"/>
      <x:c r="AA49" s="27"/>
      <x:c r="AB49" s="27" t="n">
        <x:v>2402.88</x:v>
      </x:c>
      <x:c r="AC49" s="27" t="n">
        <x:v>8071.592</x:v>
      </x:c>
      <x:c r="AD49" s="27" t="n">
        <x:v>10580.932</x:v>
      </x:c>
      <x:c r="AE49" s="27"/>
      <x:c r="AF49" s="27"/>
      <x:c r="AG49" s="27"/>
      <x:c r="AH49" s="27"/>
      <x:c r="AI49" s="27"/>
      <x:c r="AJ49" s="27"/>
      <x:c r="AK49" s="27"/>
      <x:c r="AL49" s="27"/>
      <x:c r="AM49" s="27"/>
      <x:c r="AN49" s="27"/>
      <x:c r="AO49" s="27"/>
      <x:c r="AP49" s="27" t="n">
        <x:f>SUMIF('调用明细'!$A$2:$A$498,F49,'调用明细'!$H$2:$H$498)</x:f>
        <x:v>46354.4</x:v>
      </x:c>
      <x:c r="AQ49" s="27" t="n">
        <x:f>COUNTIF('调用明细'!$A$2:$A$498,F49)</x:f>
        <x:v>7</x:v>
      </x:c>
      <x:c r="AR49" s="23" t="str">
        <x:v>完整</x:v>
      </x:c>
    </x:row>
    <x:row r="50" ht="42" customHeight="1">
      <x:c r="A50" s="23" t="s">
        <x:v>26</x:v>
      </x:c>
      <x:c r="B50" s="23" t="s">
        <x:v>177</x:v>
      </x:c>
      <x:c r="C50" s="23" t="s">
        <x:v>178</x:v>
      </x:c>
      <x:c r="D50" s="25" t="s">
        <x:v>179</x:v>
      </x:c>
      <x:c r="E50" s="25" t="s">
        <x:v>180</x:v>
      </x:c>
      <x:c r="F50" s="29" t="n">
        <x:v>49</x:v>
      </x:c>
      <x:c r="G50" s="23" t="str">
        <x:v>查询小区深圳东海岸三D-HRH-1和深圳奥特莱斯D-HRH-3的经度(longitude)和站点名称(siteName)</x:v>
      </x:c>
      <x:c r="H50" s="27" t="n">
        <x:v>11314.237</x:v>
      </x:c>
      <x:c r="I50" s="27" t="n">
        <x:v>5460.445</x:v>
      </x:c>
      <x:c r="J50" s="27"/>
      <x:c r="K50" s="27"/>
      <x:c r="L50" s="27" t="n">
        <x:v>3456.362</x:v>
      </x:c>
      <x:c r="M50" s="27"/>
      <x:c r="N50" s="27"/>
      <x:c r="O50" s="27"/>
      <x:c r="P50" s="27"/>
      <x:c r="Q50" s="27"/>
      <x:c r="R50" s="27"/>
      <x:c r="S50" s="27"/>
      <x:c r="T50" s="27" t="n">
        <x:v>1283.099</x:v>
      </x:c>
      <x:c r="U50" s="27"/>
      <x:c r="V50" s="27"/>
      <x:c r="W50" s="27"/>
      <x:c r="X50" s="27"/>
      <x:c r="Y50" s="27"/>
      <x:c r="Z50" s="27"/>
      <x:c r="AA50" s="27"/>
      <x:c r="AB50" s="27" t="n">
        <x:v>1849.744</x:v>
      </x:c>
      <x:c r="AC50" s="27" t="n">
        <x:v>7899.741</x:v>
      </x:c>
      <x:c r="AD50" s="27" t="n">
        <x:v>7762.422</x:v>
      </x:c>
      <x:c r="AE50" s="27"/>
      <x:c r="AF50" s="27"/>
      <x:c r="AG50" s="27"/>
      <x:c r="AH50" s="27"/>
      <x:c r="AI50" s="27"/>
      <x:c r="AJ50" s="27"/>
      <x:c r="AK50" s="27"/>
      <x:c r="AL50" s="27"/>
      <x:c r="AM50" s="27"/>
      <x:c r="AN50" s="27"/>
      <x:c r="AO50" s="27"/>
      <x:c r="AP50" s="27" t="n">
        <x:f>SUMIF('调用明细'!$A$2:$A$498,F50,'调用明细'!$H$2:$H$498)</x:f>
        <x:v>39026.049999999996</x:v>
      </x:c>
      <x:c r="AQ50" s="27" t="n">
        <x:f>COUNTIF('调用明细'!$A$2:$A$498,F50)</x:f>
        <x:v>7</x:v>
      </x:c>
      <x:c r="AR50" s="23" t="str">
        <x:v>完整</x:v>
      </x:c>
    </x:row>
    <x:row r="51" ht="42" customHeight="1">
      <x:c r="A51" s="23" t="s">
        <x:v>26</x:v>
      </x:c>
      <x:c r="B51" s="23" t="s">
        <x:v>31</x:v>
      </x:c>
      <x:c r="C51" s="23" t="s">
        <x:v>181</x:v>
      </x:c>
      <x:c r="D51" s="25" t="s">
        <x:v>182</x:v>
      </x:c>
      <x:c r="E51" s="25" t="s">
        <x:v>183</x:v>
      </x:c>
      <x:c r="F51" s="29" t="n">
        <x:v>50</x:v>
      </x:c>
      <x:c r="G51" s="23" t="str">
        <x:v>查询站点CBN-福州马尾-高铁鼓山1号隧道出口（左侧）C-HRRH下所有小区的方位角、电子下倾角和机械下倾角</x:v>
      </x:c>
      <x:c r="H51" s="27" t="n">
        <x:v>10030.809</x:v>
      </x:c>
      <x:c r="I51" s="27" t="n">
        <x:v>5714.615</x:v>
      </x:c>
      <x:c r="J51" s="27" t="n">
        <x:v>5749.924</x:v>
      </x:c>
      <x:c r="K51" s="27"/>
      <x:c r="L51" s="27" t="n">
        <x:v>3759.196</x:v>
      </x:c>
      <x:c r="M51" s="27" t="n">
        <x:v>3484.209</x:v>
      </x:c>
      <x:c r="N51" s="27"/>
      <x:c r="O51" s="27"/>
      <x:c r="P51" s="27"/>
      <x:c r="Q51" s="27"/>
      <x:c r="R51" s="27"/>
      <x:c r="S51" s="27"/>
      <x:c r="T51" s="27" t="n">
        <x:v>1335.193</x:v>
      </x:c>
      <x:c r="U51" s="27" t="n">
        <x:v>2019.752</x:v>
      </x:c>
      <x:c r="V51" s="27" t="n">
        <x:v>1271.264</x:v>
      </x:c>
      <x:c r="W51" s="27"/>
      <x:c r="X51" s="27"/>
      <x:c r="Y51" s="27"/>
      <x:c r="Z51" s="27"/>
      <x:c r="AA51" s="27"/>
      <x:c r="AB51" s="27" t="n">
        <x:v>1943.653</x:v>
      </x:c>
      <x:c r="AC51" s="27" t="n">
        <x:v>7966.219</x:v>
      </x:c>
      <x:c r="AD51" s="27" t="n">
        <x:v>6017.62</x:v>
      </x:c>
      <x:c r="AE51" s="27"/>
      <x:c r="AF51" s="27"/>
      <x:c r="AG51" s="27"/>
      <x:c r="AH51" s="27"/>
      <x:c r="AI51" s="27"/>
      <x:c r="AJ51" s="27"/>
      <x:c r="AK51" s="27"/>
      <x:c r="AL51" s="27"/>
      <x:c r="AM51" s="27"/>
      <x:c r="AN51" s="27"/>
      <x:c r="AO51" s="27"/>
      <x:c r="AP51" s="27" t="n">
        <x:f>SUMIF('调用明细'!$A$2:$A$498,F51,'调用明细'!$H$2:$H$498)</x:f>
        <x:v>49292.454</x:v>
      </x:c>
      <x:c r="AQ51" s="27" t="n">
        <x:f>COUNTIF('调用明细'!$A$2:$A$498,F51)</x:f>
        <x:v>11</x:v>
      </x:c>
      <x:c r="AR51" s="23" t="str">
        <x:v>完整</x:v>
      </x:c>
    </x:row>
    <x:row r="52" ht="42" customHeight="1">
      <x:c r="A52" s="23" t="s">
        <x:v>44</x:v>
      </x:c>
      <x:c r="B52" s="23" t="s">
        <x:v>45</x:v>
      </x:c>
      <x:c r="C52" s="23" t="s">
        <x:v>184</x:v>
      </x:c>
      <x:c r="D52" s="25" t="s">
        <x:v>185</x:v>
      </x:c>
      <x:c r="E52" s="25" t="s">
        <x:v>186</x:v>
      </x:c>
      <x:c r="F52" s="29" t="n">
        <x:v>51</x:v>
      </x:c>
      <x:c r="G52" s="23" t="str">
        <x:v>查询深圳大梅沙D-HRH站点下5G小区的方位角和电子下倾角</x:v>
      </x:c>
      <x:c r="H52" s="27" t="n">
        <x:v>5599.69</x:v>
      </x:c>
      <x:c r="I52" s="27" t="n">
        <x:v>5090.635</x:v>
      </x:c>
      <x:c r="J52" s="27"/>
      <x:c r="K52" s="27"/>
      <x:c r="L52" s="27" t="n">
        <x:v>3084.521</x:v>
      </x:c>
      <x:c r="M52" s="27"/>
      <x:c r="N52" s="27"/>
      <x:c r="O52" s="27"/>
      <x:c r="P52" s="27"/>
      <x:c r="Q52" s="27"/>
      <x:c r="R52" s="27"/>
      <x:c r="S52" s="27"/>
      <x:c r="T52" s="27" t="n">
        <x:v>1323.388</x:v>
      </x:c>
      <x:c r="U52" s="27"/>
      <x:c r="V52" s="27"/>
      <x:c r="W52" s="27"/>
      <x:c r="X52" s="27"/>
      <x:c r="Y52" s="27"/>
      <x:c r="Z52" s="27"/>
      <x:c r="AA52" s="27"/>
      <x:c r="AB52" s="27" t="n">
        <x:v>2623.901</x:v>
      </x:c>
      <x:c r="AC52" s="27" t="n">
        <x:v>6439.588</x:v>
      </x:c>
      <x:c r="AD52" s="27" t="n">
        <x:v>8089.634</x:v>
      </x:c>
      <x:c r="AE52" s="27"/>
      <x:c r="AF52" s="27"/>
      <x:c r="AG52" s="27"/>
      <x:c r="AH52" s="27"/>
      <x:c r="AI52" s="27"/>
      <x:c r="AJ52" s="27"/>
      <x:c r="AK52" s="27"/>
      <x:c r="AL52" s="27"/>
      <x:c r="AM52" s="27"/>
      <x:c r="AN52" s="27"/>
      <x:c r="AO52" s="27"/>
      <x:c r="AP52" s="27" t="n">
        <x:f>SUMIF('调用明细'!$A$2:$A$498,F52,'调用明细'!$H$2:$H$498)</x:f>
        <x:v>32251.357000000004</x:v>
      </x:c>
      <x:c r="AQ52" s="27" t="n">
        <x:f>COUNTIF('调用明细'!$A$2:$A$498,F52)</x:f>
        <x:v>7</x:v>
      </x:c>
      <x:c r="AR52" s="23" t="str">
        <x:v>完整</x:v>
      </x:c>
    </x:row>
    <x:row r="53" ht="42" customHeight="1">
      <x:c r="A53" s="23" t="s">
        <x:v>44</x:v>
      </x:c>
      <x:c r="B53" s="23" t="s">
        <x:v>49</x:v>
      </x:c>
      <x:c r="C53" s="23" t="s">
        <x:v>187</x:v>
      </x:c>
      <x:c r="D53" s="25" t="s">
        <x:v>188</x:v>
      </x:c>
      <x:c r="E53" s="25" t="s">
        <x:v>189</x:v>
      </x:c>
      <x:c r="F53" s="29" t="n">
        <x:v>52</x:v>
      </x:c>
      <x:c r="G53" s="23" t="str">
        <x:v>查询NR小区CBN-深圳梅沙湾U-H5H-0711的站点名称和纬度</x:v>
      </x:c>
      <x:c r="H53" s="27" t="n">
        <x:v>8363.278</x:v>
      </x:c>
      <x:c r="I53" s="27" t="n">
        <x:v>5173.536</x:v>
      </x:c>
      <x:c r="J53" s="27"/>
      <x:c r="K53" s="27"/>
      <x:c r="L53" s="27" t="n">
        <x:v>3177.086</x:v>
      </x:c>
      <x:c r="M53" s="27"/>
      <x:c r="N53" s="27"/>
      <x:c r="O53" s="27"/>
      <x:c r="P53" s="27"/>
      <x:c r="Q53" s="27"/>
      <x:c r="R53" s="27"/>
      <x:c r="S53" s="27"/>
      <x:c r="T53" s="27" t="n">
        <x:v>1366.422</x:v>
      </x:c>
      <x:c r="U53" s="27"/>
      <x:c r="V53" s="27"/>
      <x:c r="W53" s="27"/>
      <x:c r="X53" s="27"/>
      <x:c r="Y53" s="27"/>
      <x:c r="Z53" s="27"/>
      <x:c r="AA53" s="27"/>
      <x:c r="AB53" s="27" t="n">
        <x:v>1569.187</x:v>
      </x:c>
      <x:c r="AC53" s="27" t="n">
        <x:v>7152.633</x:v>
      </x:c>
      <x:c r="AD53" s="27" t="n">
        <x:v>5420.444</x:v>
      </x:c>
      <x:c r="AE53" s="27"/>
      <x:c r="AF53" s="27"/>
      <x:c r="AG53" s="27"/>
      <x:c r="AH53" s="27"/>
      <x:c r="AI53" s="27"/>
      <x:c r="AJ53" s="27"/>
      <x:c r="AK53" s="27"/>
      <x:c r="AL53" s="27"/>
      <x:c r="AM53" s="27"/>
      <x:c r="AN53" s="27"/>
      <x:c r="AO53" s="27"/>
      <x:c r="AP53" s="27" t="n">
        <x:f>SUMIF('调用明细'!$A$2:$A$498,F53,'调用明细'!$H$2:$H$498)</x:f>
        <x:v>32222.586</x:v>
      </x:c>
      <x:c r="AQ53" s="27" t="n">
        <x:f>COUNTIF('调用明细'!$A$2:$A$498,F53)</x:f>
        <x:v>7</x:v>
      </x:c>
      <x:c r="AR53" s="23" t="str">
        <x:v>完整</x:v>
      </x:c>
    </x:row>
    <x:row r="54" ht="42" customHeight="1">
      <x:c r="A54" s="23" t="s">
        <x:v>44</x:v>
      </x:c>
      <x:c r="B54" s="23" t="s">
        <x:v>190</x:v>
      </x:c>
      <x:c r="C54" s="23" t="s">
        <x:v>191</x:v>
      </x:c>
      <x:c r="D54" s="25" t="s">
        <x:v>192</x:v>
      </x:c>
      <x:c r="E54" s="25" t="s">
        <x:v>193</x:v>
      </x:c>
      <x:c r="F54" s="29" t="n">
        <x:v>53</x:v>
      </x:c>
      <x:c r="G54" s="23" t="str">
        <x:v>查询深圳奥特莱斯D-HRH-1和深圳奥特莱斯D-HRH-2这两个5G小区的经度和设备厂商</x:v>
      </x:c>
      <x:c r="H54" s="27" t="n">
        <x:v>5642.268</x:v>
      </x:c>
      <x:c r="I54" s="27" t="n">
        <x:v>5292.772</x:v>
      </x:c>
      <x:c r="J54" s="27"/>
      <x:c r="K54" s="27"/>
      <x:c r="L54" s="27" t="n">
        <x:v>3126.354</x:v>
      </x:c>
      <x:c r="M54" s="27"/>
      <x:c r="N54" s="27"/>
      <x:c r="O54" s="27"/>
      <x:c r="P54" s="27"/>
      <x:c r="Q54" s="27"/>
      <x:c r="R54" s="27"/>
      <x:c r="S54" s="27"/>
      <x:c r="T54" s="27" t="n">
        <x:v>1378.571</x:v>
      </x:c>
      <x:c r="U54" s="27" t="n">
        <x:v>1687.129</x:v>
      </x:c>
      <x:c r="V54" s="27"/>
      <x:c r="W54" s="27"/>
      <x:c r="X54" s="27"/>
      <x:c r="Y54" s="27"/>
      <x:c r="Z54" s="27"/>
      <x:c r="AA54" s="27"/>
      <x:c r="AB54" s="27" t="n">
        <x:v>1919.715</x:v>
      </x:c>
      <x:c r="AC54" s="27" t="n">
        <x:v>8022.804</x:v>
      </x:c>
      <x:c r="AD54" s="27" t="n">
        <x:v>5002.506</x:v>
      </x:c>
      <x:c r="AE54" s="27"/>
      <x:c r="AF54" s="27"/>
      <x:c r="AG54" s="27"/>
      <x:c r="AH54" s="27"/>
      <x:c r="AI54" s="27"/>
      <x:c r="AJ54" s="27"/>
      <x:c r="AK54" s="27"/>
      <x:c r="AL54" s="27"/>
      <x:c r="AM54" s="27"/>
      <x:c r="AN54" s="27"/>
      <x:c r="AO54" s="27"/>
      <x:c r="AP54" s="27" t="n">
        <x:f>SUMIF('调用明细'!$A$2:$A$498,F54,'调用明细'!$H$2:$H$498)</x:f>
        <x:v>32072.119000000002</x:v>
      </x:c>
      <x:c r="AQ54" s="27" t="n">
        <x:f>COUNTIF('调用明细'!$A$2:$A$498,F54)</x:f>
        <x:v>8</x:v>
      </x:c>
      <x:c r="AR54" s="23" t="str">
        <x:v>完整</x:v>
      </x:c>
    </x:row>
    <x:row r="55" ht="42" customHeight="1">
      <x:c r="A55" s="23" t="s">
        <x:v>44</x:v>
      </x:c>
      <x:c r="B55" s="23" t="s">
        <x:v>194</x:v>
      </x:c>
      <x:c r="C55" s="23" t="s">
        <x:v>195</x:v>
      </x:c>
      <x:c r="D55" s="25" t="s">
        <x:v>196</x:v>
      </x:c>
      <x:c r="E55" s="25" t="s">
        <x:v>197</x:v>
      </x:c>
      <x:c r="F55" s="29" t="n">
        <x:v>54</x:v>
      </x:c>
      <x:c r="G55" s="23" t="str">
        <x:v>查询站点CBN-福州仓山-福州南站火车南站西北美化塔C-HRRH下所有NR小区的移动国家码(MCC)和小区名称</x:v>
      </x:c>
      <x:c r="H55" s="27" t="n">
        <x:v>5766.541</x:v>
      </x:c>
      <x:c r="I55" s="27" t="n">
        <x:v>8035.346</x:v>
      </x:c>
      <x:c r="J55" s="27"/>
      <x:c r="K55" s="27"/>
      <x:c r="L55" s="27" t="n">
        <x:v>3630.085</x:v>
      </x:c>
      <x:c r="M55" s="27"/>
      <x:c r="N55" s="27"/>
      <x:c r="O55" s="27"/>
      <x:c r="P55" s="27"/>
      <x:c r="Q55" s="27"/>
      <x:c r="R55" s="27"/>
      <x:c r="S55" s="27"/>
      <x:c r="T55" s="27" t="n">
        <x:v>1376.241</x:v>
      </x:c>
      <x:c r="U55" s="27"/>
      <x:c r="V55" s="27"/>
      <x:c r="W55" s="27"/>
      <x:c r="X55" s="27"/>
      <x:c r="Y55" s="27"/>
      <x:c r="Z55" s="27"/>
      <x:c r="AA55" s="27"/>
      <x:c r="AB55" s="27" t="n">
        <x:v>1718.957</x:v>
      </x:c>
      <x:c r="AC55" s="27" t="n">
        <x:v>7774.052</x:v>
      </x:c>
      <x:c r="AD55" s="27" t="n">
        <x:v>5454.442</x:v>
      </x:c>
      <x:c r="AE55" s="27"/>
      <x:c r="AF55" s="27"/>
      <x:c r="AG55" s="27"/>
      <x:c r="AH55" s="27"/>
      <x:c r="AI55" s="27"/>
      <x:c r="AJ55" s="27"/>
      <x:c r="AK55" s="27"/>
      <x:c r="AL55" s="27"/>
      <x:c r="AM55" s="27"/>
      <x:c r="AN55" s="27"/>
      <x:c r="AO55" s="27"/>
      <x:c r="AP55" s="27" t="n">
        <x:f>SUMIF('调用明细'!$A$2:$A$498,F55,'调用明细'!$H$2:$H$498)</x:f>
        <x:v>33755.664</x:v>
      </x:c>
      <x:c r="AQ55" s="27" t="n">
        <x:f>COUNTIF('调用明细'!$A$2:$A$498,F55)</x:f>
        <x:v>7</x:v>
      </x:c>
      <x:c r="AR55" s="23" t="str">
        <x:v>完整</x:v>
      </x:c>
    </x:row>
    <x:row r="56" ht="42" customHeight="1">
      <x:c r="A56" s="23" t="s">
        <x:v>44</x:v>
      </x:c>
      <x:c r="B56" s="23" t="s">
        <x:v>124</x:v>
      </x:c>
      <x:c r="C56" s="23" t="s">
        <x:v>198</x:v>
      </x:c>
      <x:c r="D56" s="25" t="s">
        <x:v>199</x:v>
      </x:c>
      <x:c r="E56" s="25" t="s">
        <x:v>200</x:v>
      </x:c>
      <x:c r="F56" s="29" t="n">
        <x:v>55</x:v>
      </x:c>
      <x:c r="G56" s="23" t="str">
        <x:v>查询深圳东海岸三D-HRH-1这个5G小区的方位角、电子下倾角和站点名称</x:v>
      </x:c>
      <x:c r="H56" s="27" t="n">
        <x:v>5656.893</x:v>
      </x:c>
      <x:c r="I56" s="27" t="n">
        <x:v>5121.169</x:v>
      </x:c>
      <x:c r="J56" s="27"/>
      <x:c r="K56" s="27"/>
      <x:c r="L56" s="27" t="n">
        <x:v>3121.145</x:v>
      </x:c>
      <x:c r="M56" s="27"/>
      <x:c r="N56" s="27"/>
      <x:c r="O56" s="27"/>
      <x:c r="P56" s="27"/>
      <x:c r="Q56" s="27"/>
      <x:c r="R56" s="27"/>
      <x:c r="S56" s="27"/>
      <x:c r="T56" s="27" t="n">
        <x:v>1407.099</x:v>
      </x:c>
      <x:c r="U56" s="27"/>
      <x:c r="V56" s="27"/>
      <x:c r="W56" s="27"/>
      <x:c r="X56" s="27"/>
      <x:c r="Y56" s="27"/>
      <x:c r="Z56" s="27"/>
      <x:c r="AA56" s="27"/>
      <x:c r="AB56" s="27" t="n">
        <x:v>1468.823</x:v>
      </x:c>
      <x:c r="AC56" s="27" t="n">
        <x:v>8030.393</x:v>
      </x:c>
      <x:c r="AD56" s="27" t="n">
        <x:v>4792.791</x:v>
      </x:c>
      <x:c r="AE56" s="27"/>
      <x:c r="AF56" s="27"/>
      <x:c r="AG56" s="27"/>
      <x:c r="AH56" s="27"/>
      <x:c r="AI56" s="27"/>
      <x:c r="AJ56" s="27"/>
      <x:c r="AK56" s="27"/>
      <x:c r="AL56" s="27"/>
      <x:c r="AM56" s="27"/>
      <x:c r="AN56" s="27"/>
      <x:c r="AO56" s="27"/>
      <x:c r="AP56" s="27" t="n">
        <x:f>SUMIF('调用明细'!$A$2:$A$498,F56,'调用明细'!$H$2:$H$498)</x:f>
        <x:v>29598.313000000002</x:v>
      </x:c>
      <x:c r="AQ56" s="27" t="n">
        <x:f>COUNTIF('调用明细'!$A$2:$A$498,F56)</x:f>
        <x:v>7</x:v>
      </x:c>
      <x:c r="AR56" s="23" t="str">
        <x:v>完整</x:v>
      </x:c>
    </x:row>
    <x:row r="57" ht="42" customHeight="1">
      <x:c r="A57" s="23" t="s">
        <x:v>64</x:v>
      </x:c>
      <x:c r="B57" s="23" t="s">
        <x:v>65</x:v>
      </x:c>
      <x:c r="C57" s="23" t="s">
        <x:v>201</x:v>
      </x:c>
      <x:c r="D57" s="25" t="s">
        <x:v>202</x:v>
      </x:c>
      <x:c r="E57" s="25" t="s">
        <x:v>68</x:v>
      </x:c>
      <x:c r="F57" s="29" t="n">
        <x:v>56</x:v>
      </x:c>
      <x:c r="G57" s="23" t="str">
        <x:v>查询深圳大梅沙D-HRH站点下天线高度大于30米的小区，返回小区名称、天线高度和方位角</x:v>
      </x:c>
      <x:c r="H57" s="27" t="n">
        <x:v>5362.174</x:v>
      </x:c>
      <x:c r="I57" s="27" t="n">
        <x:v>5580.19</x:v>
      </x:c>
      <x:c r="J57" s="27"/>
      <x:c r="K57" s="27"/>
      <x:c r="L57" s="27" t="n">
        <x:v>3853.18</x:v>
      </x:c>
      <x:c r="M57" s="27"/>
      <x:c r="N57" s="27"/>
      <x:c r="O57" s="27"/>
      <x:c r="P57" s="27"/>
      <x:c r="Q57" s="27"/>
      <x:c r="R57" s="27"/>
      <x:c r="S57" s="27"/>
      <x:c r="T57" s="27" t="n">
        <x:v>1222.918</x:v>
      </x:c>
      <x:c r="U57" s="27"/>
      <x:c r="V57" s="27"/>
      <x:c r="W57" s="27"/>
      <x:c r="X57" s="27"/>
      <x:c r="Y57" s="27"/>
      <x:c r="Z57" s="27"/>
      <x:c r="AA57" s="27"/>
      <x:c r="AB57" s="27" t="n">
        <x:v>1731.132</x:v>
      </x:c>
      <x:c r="AC57" s="27" t="n">
        <x:v>4239.896</x:v>
      </x:c>
      <x:c r="AD57" s="27" t="n">
        <x:v>5540.784</x:v>
      </x:c>
      <x:c r="AE57" s="27"/>
      <x:c r="AF57" s="27"/>
      <x:c r="AG57" s="27"/>
      <x:c r="AH57" s="27"/>
      <x:c r="AI57" s="27"/>
      <x:c r="AJ57" s="27"/>
      <x:c r="AK57" s="27"/>
      <x:c r="AL57" s="27"/>
      <x:c r="AM57" s="27"/>
      <x:c r="AN57" s="27"/>
      <x:c r="AO57" s="27"/>
      <x:c r="AP57" s="27" t="n">
        <x:f>SUMIF('调用明细'!$A$2:$A$498,F57,'调用明细'!$H$2:$H$498)</x:f>
        <x:v>27530.274</x:v>
      </x:c>
      <x:c r="AQ57" s="27" t="n">
        <x:f>COUNTIF('调用明细'!$A$2:$A$498,F57)</x:f>
        <x:v>7</x:v>
      </x:c>
      <x:c r="AR57" s="23" t="str">
        <x:v>完整</x:v>
      </x:c>
    </x:row>
    <x:row r="58" ht="42" customHeight="1">
      <x:c r="A58" s="23" t="s">
        <x:v>64</x:v>
      </x:c>
      <x:c r="B58" s="23" t="s">
        <x:v>69</x:v>
      </x:c>
      <x:c r="C58" s="23" t="s">
        <x:v>203</x:v>
      </x:c>
      <x:c r="D58" s="25" t="s">
        <x:v>204</x:v>
      </x:c>
      <x:c r="E58" s="25" t="s">
        <x:v>68</x:v>
      </x:c>
      <x:c r="F58" s="29" t="n">
        <x:v>57</x:v>
      </x:c>
      <x:c r="G58" s="23" t="str">
        <x:v>查询深圳梅沙湾D-HRH-2和深圳大梅沙D-HRH-1这两个5G小区的工程参数，包括小区名称、方位角、经度</x:v>
      </x:c>
      <x:c r="H58" s="27" t="n">
        <x:v>5611.89</x:v>
      </x:c>
      <x:c r="I58" s="27" t="n">
        <x:v>5484.513</x:v>
      </x:c>
      <x:c r="J58" s="27"/>
      <x:c r="K58" s="27"/>
      <x:c r="L58" s="27" t="n">
        <x:v>3570.39</x:v>
      </x:c>
      <x:c r="M58" s="27"/>
      <x:c r="N58" s="27"/>
      <x:c r="O58" s="27"/>
      <x:c r="P58" s="27"/>
      <x:c r="Q58" s="27"/>
      <x:c r="R58" s="27"/>
      <x:c r="S58" s="27"/>
      <x:c r="T58" s="27" t="n">
        <x:v>1407.46</x:v>
      </x:c>
      <x:c r="U58" s="27"/>
      <x:c r="V58" s="27"/>
      <x:c r="W58" s="27"/>
      <x:c r="X58" s="27"/>
      <x:c r="Y58" s="27"/>
      <x:c r="Z58" s="27"/>
      <x:c r="AA58" s="27"/>
      <x:c r="AB58" s="27" t="n">
        <x:v>2000.862</x:v>
      </x:c>
      <x:c r="AC58" s="27" t="n">
        <x:v>8466.592</x:v>
      </x:c>
      <x:c r="AD58" s="27" t="n">
        <x:v>5333.546</x:v>
      </x:c>
      <x:c r="AE58" s="27"/>
      <x:c r="AF58" s="27"/>
      <x:c r="AG58" s="27"/>
      <x:c r="AH58" s="27"/>
      <x:c r="AI58" s="27"/>
      <x:c r="AJ58" s="27"/>
      <x:c r="AK58" s="27"/>
      <x:c r="AL58" s="27"/>
      <x:c r="AM58" s="27"/>
      <x:c r="AN58" s="27"/>
      <x:c r="AO58" s="27"/>
      <x:c r="AP58" s="27" t="n">
        <x:f>SUMIF('调用明细'!$A$2:$A$498,F58,'调用明细'!$H$2:$H$498)</x:f>
        <x:v>31875.253000000004</x:v>
      </x:c>
      <x:c r="AQ58" s="27" t="n">
        <x:f>COUNTIF('调用明细'!$A$2:$A$498,F58)</x:f>
        <x:v>7</x:v>
      </x:c>
      <x:c r="AR58" s="23" t="str">
        <x:v>完整</x:v>
      </x:c>
    </x:row>
    <x:row r="59" ht="42" customHeight="1">
      <x:c r="A59" s="23" t="s">
        <x:v>64</x:v>
      </x:c>
      <x:c r="B59" s="23" t="s">
        <x:v>73</x:v>
      </x:c>
      <x:c r="C59" s="23" t="s">
        <x:v>205</x:v>
      </x:c>
      <x:c r="D59" s="25" t="s">
        <x:v>206</x:v>
      </x:c>
      <x:c r="E59" s="25" t="s">
        <x:v>68</x:v>
      </x:c>
      <x:c r="F59" s="29" t="n">
        <x:v>58</x:v>
      </x:c>
      <x:c r="G59" s="23" t="str">
        <x:v>查询CBN-深圳梅沙湾U-H5H站点下机械下倾角等于6且电子下倾角不超过9的小区，返回小区名称、机械下倾角和电子下倾角</x:v>
      </x:c>
      <x:c r="H59" s="27" t="n">
        <x:v>5866.419</x:v>
      </x:c>
      <x:c r="I59" s="27" t="n">
        <x:v>5661.469</x:v>
      </x:c>
      <x:c r="J59" s="27"/>
      <x:c r="K59" s="27"/>
      <x:c r="L59" s="27" t="n">
        <x:v>4634.463</x:v>
      </x:c>
      <x:c r="M59" s="27"/>
      <x:c r="N59" s="27"/>
      <x:c r="O59" s="27"/>
      <x:c r="P59" s="27"/>
      <x:c r="Q59" s="27"/>
      <x:c r="R59" s="27"/>
      <x:c r="S59" s="27"/>
      <x:c r="T59" s="27" t="n">
        <x:v>1565.763</x:v>
      </x:c>
      <x:c r="U59" s="27"/>
      <x:c r="V59" s="27"/>
      <x:c r="W59" s="27"/>
      <x:c r="X59" s="27"/>
      <x:c r="Y59" s="27"/>
      <x:c r="Z59" s="27"/>
      <x:c r="AA59" s="27"/>
      <x:c r="AB59" s="27" t="n">
        <x:v>3582.092</x:v>
      </x:c>
      <x:c r="AC59" s="27" t="n">
        <x:v>6915.84</x:v>
      </x:c>
      <x:c r="AD59" s="27" t="n">
        <x:v>5383.35</x:v>
      </x:c>
      <x:c r="AE59" s="27"/>
      <x:c r="AF59" s="27"/>
      <x:c r="AG59" s="27"/>
      <x:c r="AH59" s="27"/>
      <x:c r="AI59" s="27"/>
      <x:c r="AJ59" s="27"/>
      <x:c r="AK59" s="27"/>
      <x:c r="AL59" s="27"/>
      <x:c r="AM59" s="27"/>
      <x:c r="AN59" s="27"/>
      <x:c r="AO59" s="27"/>
      <x:c r="AP59" s="27" t="n">
        <x:f>SUMIF('调用明细'!$A$2:$A$498,F59,'调用明细'!$H$2:$H$498)</x:f>
        <x:v>33609.396</x:v>
      </x:c>
      <x:c r="AQ59" s="27" t="n">
        <x:f>COUNTIF('调用明细'!$A$2:$A$498,F59)</x:f>
        <x:v>7</x:v>
      </x:c>
      <x:c r="AR59" s="23" t="str">
        <x:v>完整</x:v>
      </x:c>
    </x:row>
    <x:row r="60" ht="42" customHeight="1">
      <x:c r="A60" s="23" t="s">
        <x:v>64</x:v>
      </x:c>
      <x:c r="B60" s="23" t="s">
        <x:v>207</x:v>
      </x:c>
      <x:c r="C60" s="23" t="s">
        <x:v>208</x:v>
      </x:c>
      <x:c r="D60" s="25" t="s">
        <x:v>209</x:v>
      </x:c>
      <x:c r="E60" s="25" t="s">
        <x:v>68</x:v>
      </x:c>
      <x:c r="F60" s="29" t="n">
        <x:v>59</x:v>
      </x:c>
      <x:c r="G60" s="23" t="str">
        <x:v>查询小区CBN-深圳东华风车U-H5H-0711的基站标识、移动网号和方位角</x:v>
      </x:c>
      <x:c r="H60" s="27" t="n">
        <x:v>5515.454</x:v>
      </x:c>
      <x:c r="I60" s="27" t="n">
        <x:v>5216.074</x:v>
      </x:c>
      <x:c r="J60" s="27"/>
      <x:c r="K60" s="27"/>
      <x:c r="L60" s="27" t="n">
        <x:v>3487.511</x:v>
      </x:c>
      <x:c r="M60" s="27"/>
      <x:c r="N60" s="27"/>
      <x:c r="O60" s="27"/>
      <x:c r="P60" s="27"/>
      <x:c r="Q60" s="27"/>
      <x:c r="R60" s="27"/>
      <x:c r="S60" s="27"/>
      <x:c r="T60" s="27" t="n">
        <x:v>1280.774</x:v>
      </x:c>
      <x:c r="U60" s="27"/>
      <x:c r="V60" s="27"/>
      <x:c r="W60" s="27"/>
      <x:c r="X60" s="27"/>
      <x:c r="Y60" s="27"/>
      <x:c r="Z60" s="27"/>
      <x:c r="AA60" s="27"/>
      <x:c r="AB60" s="27" t="n">
        <x:v>1767.78</x:v>
      </x:c>
      <x:c r="AC60" s="27" t="n">
        <x:v>5980.166</x:v>
      </x:c>
      <x:c r="AD60" s="27" t="n">
        <x:v>5876.921</x:v>
      </x:c>
      <x:c r="AE60" s="27"/>
      <x:c r="AF60" s="27"/>
      <x:c r="AG60" s="27"/>
      <x:c r="AH60" s="27"/>
      <x:c r="AI60" s="27"/>
      <x:c r="AJ60" s="27"/>
      <x:c r="AK60" s="27"/>
      <x:c r="AL60" s="27"/>
      <x:c r="AM60" s="27"/>
      <x:c r="AN60" s="27"/>
      <x:c r="AO60" s="27"/>
      <x:c r="AP60" s="27" t="n">
        <x:f>SUMIF('调用明细'!$A$2:$A$498,F60,'调用明细'!$H$2:$H$498)</x:f>
        <x:v>29124.68</x:v>
      </x:c>
      <x:c r="AQ60" s="27" t="n">
        <x:f>COUNTIF('调用明细'!$A$2:$A$498,F60)</x:f>
        <x:v>7</x:v>
      </x:c>
      <x:c r="AR60" s="23" t="str">
        <x:v>完整</x:v>
      </x:c>
    </x:row>
    <x:row r="61" ht="42" customHeight="1">
      <x:c r="A61" s="24" t="s">
        <x:v>64</x:v>
      </x:c>
      <x:c r="B61" s="24" t="s">
        <x:v>210</x:v>
      </x:c>
      <x:c r="C61" s="24" t="s">
        <x:v>211</x:v>
      </x:c>
      <x:c r="D61" s="26" t="s">
        <x:v>212</x:v>
      </x:c>
      <x:c r="E61" s="26" t="s">
        <x:v>213</x:v>
      </x:c>
      <x:c r="F61" s="30" t="n">
        <x:v>60</x:v>
      </x:c>
      <x:c r="G61" s="24" t="str">
        <x:v>查询站点CBN-福州仓山-福州南站火车南站西北美化塔C-HRRH和CBN-深圳天麓八区U-H5H下所有小区的工程参数，包括小区名称、天线高度、纬度</x:v>
      </x:c>
      <x:c r="H61" s="28" t="n">
        <x:v>6111.07</x:v>
      </x:c>
      <x:c r="I61" s="28" t="n">
        <x:v>5435.63</x:v>
      </x:c>
      <x:c r="J61" s="28"/>
      <x:c r="K61" s="28"/>
      <x:c r="L61" s="28" t="n">
        <x:v>4355.711</x:v>
      </x:c>
      <x:c r="M61" s="28" t="n">
        <x:v>33.585</x:v>
      </x:c>
      <x:c r="N61" s="28" t="n">
        <x:v>35.083</x:v>
      </x:c>
      <x:c r="O61" s="28" t="n">
        <x:v>38.589</x:v>
      </x:c>
      <x:c r="P61" s="28" t="n">
        <x:v>38.211</x:v>
      </x:c>
      <x:c r="Q61" s="28" t="n">
        <x:v>38.381</x:v>
      </x:c>
      <x:c r="R61" s="28" t="n">
        <x:v>37.047</x:v>
      </x:c>
      <x:c r="S61" s="28" t="n">
        <x:v>38.106</x:v>
      </x:c>
      <x:c r="T61" s="28" t="n">
        <x:v>1647.217</x:v>
      </x:c>
      <x:c r="U61" s="28" t="n">
        <x:v>2514.54</x:v>
      </x:c>
      <x:c r="V61" s="28" t="n">
        <x:v>39.332</x:v>
      </x:c>
      <x:c r="W61" s="28" t="n">
        <x:v>39.407</x:v>
      </x:c>
      <x:c r="X61" s="28" t="n">
        <x:v>40.452</x:v>
      </x:c>
      <x:c r="Y61" s="28" t="n">
        <x:v>39.569</x:v>
      </x:c>
      <x:c r="Z61" s="28" t="n">
        <x:v>42.03</x:v>
      </x:c>
      <x:c r="AA61" s="28" t="n">
        <x:v>40.154</x:v>
      </x:c>
      <x:c r="AB61" s="28" t="n">
        <x:v>42.89</x:v>
      </x:c>
      <x:c r="AC61" s="28" t="n">
        <x:v>6992.239</x:v>
      </x:c>
      <x:c r="AD61" s="28" t="n">
        <x:v>2387.501</x:v>
      </x:c>
      <x:c r="AE61" s="28"/>
      <x:c r="AF61" s="28"/>
      <x:c r="AG61" s="28"/>
      <x:c r="AH61" s="28"/>
      <x:c r="AI61" s="28"/>
      <x:c r="AJ61" s="28"/>
      <x:c r="AK61" s="28"/>
      <x:c r="AL61" s="28"/>
      <x:c r="AM61" s="28"/>
      <x:c r="AN61" s="28"/>
      <x:c r="AO61" s="28"/>
      <x:c r="AP61" s="28" t="n">
        <x:f>SUMIF('调用明细'!$A$2:$A$498,F61,'调用明细'!$H$2:$H$498)</x:f>
        <x:v>29986.74399999999</x:v>
      </x:c>
      <x:c r="AQ61" s="28" t="n">
        <x:f>COUNTIF('调用明细'!$A$2:$A$498,F61)</x:f>
        <x:v>21</x:v>
      </x:c>
      <x:c r="AR61" s="24" t="str">
        <x:v>完整</x:v>
      </x:c>
    </x:row>
  </x:sheetData>
  <x:conditionalFormatting sqref="AR2:AR61">
    <x:cfRule type="containsText" dxfId="0" priority="1" operator="containsText" text="缺少"/>
    <x:cfRule type="containsText" dxfId="1" priority="2" operator="containsText" text="完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46" hidden="0" customWidth="1"/>
    <x:col min="4" max="4" width="28" hidden="0" customWidth="1"/>
    <x:col min="5" max="5" width="28" hidden="0" customWidth="1"/>
    <x:col min="6" max="6" width="12" hidden="0" customWidth="1"/>
    <x:col min="7" max="7" width="24" hidden="0" customWidth="1"/>
    <x:col min="8" max="8" width="20" hidden="0" customWidth="1"/>
    <x:col min="9" max="9" width="14" hidden="0" customWidth="1"/>
    <x:col min="10" max="10" width="30" hidden="0" customWidth="1"/>
    <x:col min="11" max="11" width="12" hidden="0" customWidth="1"/>
    <x:col min="12" max="12" width="20" hidden="0" customWidth="1"/>
  </x:cols>
  <x:sheetData>
    <x:row r="1" ht="34" customHeight="1">
      <x:c r="A1" s="35" t="str">
        <x:v>问题编号</x:v>
      </x:c>
      <x:c r="B1" s="35" t="str">
        <x:v>原问题</x:v>
      </x:c>
      <x:c r="C1" s="35" t="str">
        <x:v>转换后问题</x:v>
      </x:c>
      <x:c r="D1" s="35" t="str">
        <x:v>阶段</x:v>
      </x:c>
      <x:c r="E1" s="35" t="str">
        <x:v>调用说明/工具名</x:v>
      </x:c>
      <x:c r="F1" s="35" t="str">
        <x:v>阶段内序号</x:v>
      </x:c>
      <x:c r="G1" s="35" t="str">
        <x:v>接收时间</x:v>
      </x:c>
      <x:c r="H1" s="35" t="str">
        <x:v>total_duration_ms</x:v>
      </x:c>
      <x:c r="I1" s="35" t="str">
        <x:v>时延(s)</x:v>
      </x:c>
      <x:c r="J1" s="35" t="str">
        <x:v>来源文件</x:v>
      </x:c>
      <x:c r="K1" s="35" t="str">
        <x:v>源文件行号</x:v>
      </x:c>
      <x:c r="L1" s="35" t="str">
        <x:v>匹配方式</x:v>
      </x:c>
    </x:row>
    <x:row r="2">
      <x:c r="A2" s="38" t="str">
        <x:v>UNMATCHED</x:v>
      </x:c>
      <x:c r="B2" s="23" t="str"/>
      <x:c r="C2" s="23" t="str"/>
      <x:c r="D2" s="23" t="str">
        <x:v>未匹配/探活调用</x:v>
      </x:c>
      <x:c r="E2" s="23" t="str">
        <x:v>DeepSeek未匹配/探活调用</x:v>
      </x:c>
      <x:c r="F2" s="21" t="n">
        <x:v>1</x:v>
      </x:c>
      <x:c r="G2" s="21" t="str">
        <x:v>2026-08-12T09:50:33.408</x:v>
      </x:c>
      <x:c r="H2" s="36" t="n">
        <x:v>9.799</x:v>
      </x:c>
      <x:c r="I2" s="36" t="n">
        <x:f>H2/1000</x:f>
        <x:v>0.009798999999999999</x:v>
      </x:c>
      <x:c r="J2" s="21" t="str">
        <x:v>data2/dsv4_2_recipe_ds.jsonl</x:v>
      </x:c>
      <x:c r="K2" s="21" t="n">
        <x:v>1</x:v>
      </x:c>
      <x:c r="L2" s="21" t="str">
        <x:v>未匹配</x:v>
      </x:c>
    </x:row>
    <x:row r="3">
      <x:c r="A3" s="38" t="str">
        <x:v>UNMATCHED</x:v>
      </x:c>
      <x:c r="B3" s="23" t="str"/>
      <x:c r="C3" s="23" t="str"/>
      <x:c r="D3" s="23" t="str">
        <x:v>未匹配/探活调用</x:v>
      </x:c>
      <x:c r="E3" s="23" t="str">
        <x:v>DeepSeek未匹配/探活调用</x:v>
      </x:c>
      <x:c r="F3" s="21" t="n">
        <x:v>2</x:v>
      </x:c>
      <x:c r="G3" s="21" t="str">
        <x:v>2026-08-12T09:52:44.380</x:v>
      </x:c>
      <x:c r="H3" s="36" t="n">
        <x:v>36.712</x:v>
      </x:c>
      <x:c r="I3" s="36" t="n">
        <x:f>H3/1000</x:f>
        <x:v>0.036712</x:v>
      </x:c>
      <x:c r="J3" s="21" t="str">
        <x:v>data2/dsv4_2_recipe_ds.jsonl</x:v>
      </x:c>
      <x:c r="K3" s="21" t="n">
        <x:v>2</x:v>
      </x:c>
      <x:c r="L3" s="21" t="str">
        <x:v>未匹配</x:v>
      </x:c>
    </x:row>
    <x:row r="4">
      <x:c r="A4" s="38" t="str">
        <x:v>UNMATCHED</x:v>
      </x:c>
      <x:c r="B4" s="23" t="str"/>
      <x:c r="C4" s="23" t="str"/>
      <x:c r="D4" s="23" t="str">
        <x:v>未匹配/探活调用</x:v>
      </x:c>
      <x:c r="E4" s="23" t="str">
        <x:v>DeepSeek未匹配/探活调用</x:v>
      </x:c>
      <x:c r="F4" s="21" t="n">
        <x:v>3</x:v>
      </x:c>
      <x:c r="G4" s="21" t="str">
        <x:v>2026-08-12T09:52:49.447</x:v>
      </x:c>
      <x:c r="H4" s="36" t="n">
        <x:v>34.659</x:v>
      </x:c>
      <x:c r="I4" s="36" t="n">
        <x:f>H4/1000</x:f>
        <x:v>0.034659</x:v>
      </x:c>
      <x:c r="J4" s="21" t="str">
        <x:v>data2/dsv4_2_recipe_ds.jsonl</x:v>
      </x:c>
      <x:c r="K4" s="21" t="n">
        <x:v>3</x:v>
      </x:c>
      <x:c r="L4" s="21" t="str">
        <x:v>未匹配</x:v>
      </x:c>
    </x:row>
    <x:row r="5">
      <x:c r="A5" s="38" t="str">
        <x:v>UNMATCHED</x:v>
      </x:c>
      <x:c r="B5" s="23" t="str"/>
      <x:c r="C5" s="23" t="str"/>
      <x:c r="D5" s="23" t="str">
        <x:v>未匹配/探活调用</x:v>
      </x:c>
      <x:c r="E5" s="23" t="str">
        <x:v>Qwen未匹配/探活调用</x:v>
      </x:c>
      <x:c r="F5" s="21" t="n">
        <x:v>4</x:v>
      </x:c>
      <x:c r="G5" s="21" t="str">
        <x:v>2026-08-12T09:53:13.429</x:v>
      </x:c>
      <x:c r="H5" s="36" t="n">
        <x:v>43.796</x:v>
      </x:c>
      <x:c r="I5" s="36" t="n">
        <x:f>H5/1000</x:f>
        <x:v>0.043796</x:v>
      </x:c>
      <x:c r="J5" s="21" t="str">
        <x:v>data2/qwen3_2.jsonl</x:v>
      </x:c>
      <x:c r="K5" s="21" t="n">
        <x:v>1</x:v>
      </x:c>
      <x:c r="L5" s="21" t="str">
        <x:v>未匹配</x:v>
      </x:c>
    </x:row>
    <x:row r="6">
      <x:c r="A6" s="38" t="str">
        <x:v>UNMATCHED</x:v>
      </x:c>
      <x:c r="B6" s="23" t="str"/>
      <x:c r="C6" s="23" t="str"/>
      <x:c r="D6" s="23" t="str">
        <x:v>未匹配/探活调用</x:v>
      </x:c>
      <x:c r="E6" s="23" t="str">
        <x:v>Qwen未匹配/探活调用</x:v>
      </x:c>
      <x:c r="F6" s="21" t="n">
        <x:v>5</x:v>
      </x:c>
      <x:c r="G6" s="21" t="str">
        <x:v>2026-08-12T09:58:20.441</x:v>
      </x:c>
      <x:c r="H6" s="36" t="n">
        <x:v>47.392</x:v>
      </x:c>
      <x:c r="I6" s="36" t="n">
        <x:f>H6/1000</x:f>
        <x:v>0.047392000000000004</x:v>
      </x:c>
      <x:c r="J6" s="21" t="str">
        <x:v>data2/qwen3_2.jsonl</x:v>
      </x:c>
      <x:c r="K6" s="21" t="n">
        <x:v>2</x:v>
      </x:c>
      <x:c r="L6" s="21" t="str">
        <x:v>未匹配</x:v>
      </x:c>
    </x:row>
    <x:row r="7">
      <x:c r="A7" s="38" t="str">
        <x:v>UNMATCHED</x:v>
      </x:c>
      <x:c r="B7" s="23" t="str"/>
      <x:c r="C7" s="23" t="str"/>
      <x:c r="D7" s="23" t="str">
        <x:v>未匹配/探活调用</x:v>
      </x:c>
      <x:c r="E7" s="23" t="str">
        <x:v>DeepSeek未匹配/探活调用</x:v>
      </x:c>
      <x:c r="F7" s="21" t="n">
        <x:v>6</x:v>
      </x:c>
      <x:c r="G7" s="21" t="str">
        <x:v>2026-08-12T09:58:20.524</x:v>
      </x:c>
      <x:c r="H7" s="36" t="n">
        <x:v>44.281</x:v>
      </x:c>
      <x:c r="I7" s="36" t="n">
        <x:f>H7/1000</x:f>
        <x:v>0.044281</x:v>
      </x:c>
      <x:c r="J7" s="21" t="str">
        <x:v>data2/dsv4_2_recipe_ds.jsonl</x:v>
      </x:c>
      <x:c r="K7" s="21" t="n">
        <x:v>4</x:v>
      </x:c>
      <x:c r="L7" s="21" t="str">
        <x:v>未匹配</x:v>
      </x:c>
    </x:row>
    <x:row r="8">
      <x:c r="A8" s="38" t="n">
        <x:v>1</x:v>
      </x:c>
      <x:c r="B8" s="23" t="str">
        <x:v>帮我查一下深圳大梅沙D-HRH-2小区的经度、纬度和方位角。</x:v>
      </x:c>
      <x:c r="C8" s="23" t="str">
        <x:v>查询深圳大梅沙D-HRH-2小区的经度、纬度和方位角</x:v>
      </x:c>
      <x:c r="D8" s="23" t="str">
        <x:v>AICO错误/失败</x:v>
      </x:c>
      <x:c r="E8" s="23" t="str">
        <x:v>HTTP 404</x:v>
      </x:c>
      <x:c r="F8" s="21" t="n">
        <x:v>1</x:v>
      </x:c>
      <x:c r="G8" s="21" t="str">
        <x:v>2026-08-12T09:59:19.344</x:v>
      </x:c>
      <x:c r="H8" s="36" t="n">
        <x:v>69.131</x:v>
      </x:c>
      <x:c r="I8" s="36" t="n">
        <x:f>H8/1000</x:f>
        <x:v>0.069131</x:v>
      </x:c>
      <x:c r="J8" s="21" t="str">
        <x:v>data2/dsv4_2_aico.jsonl</x:v>
      </x:c>
      <x:c r="K8" s="21" t="n">
        <x:v>1</x:v>
      </x:c>
      <x:c r="L8" s="21" t="str">
        <x:v>original精确文本</x:v>
      </x:c>
    </x:row>
    <x:row r="9">
      <x:c r="A9" s="38" t="n">
        <x:v>2</x:v>
      </x:c>
      <x:c r="B9" s="23" t="str">
        <x:v>看一下CBN-深圳天麓八区U-H5H站点下小区的天线高度和机械下倾角。</x:v>
      </x:c>
      <x:c r="C9" s="23" t="str">
        <x:v>查询CBN-深圳天麓八区U-H5H站点下所有小区的天线高度和机械下倾角</x:v>
      </x:c>
      <x:c r="D9" s="23" t="str">
        <x:v>AICO错误/失败</x:v>
      </x:c>
      <x:c r="E9" s="23" t="str">
        <x:v>HTTP 404</x:v>
      </x:c>
      <x:c r="F9" s="21" t="n">
        <x:v>1</x:v>
      </x:c>
      <x:c r="G9" s="21" t="str">
        <x:v>2026-08-12T09:59:20.688</x:v>
      </x:c>
      <x:c r="H9" s="36" t="n">
        <x:v>67.541</x:v>
      </x:c>
      <x:c r="I9" s="36" t="n">
        <x:f>H9/1000</x:f>
        <x:v>0.06754099999999999</x:v>
      </x:c>
      <x:c r="J9" s="21" t="str">
        <x:v>data2/dsv4_2_aico.jsonl</x:v>
      </x:c>
      <x:c r="K9" s="21" t="n">
        <x:v>2</x:v>
      </x:c>
      <x:c r="L9" s="21" t="str">
        <x:v>original精确文本</x:v>
      </x:c>
    </x:row>
    <x:row r="10">
      <x:c r="A10" s="38" t="n">
        <x:v>3</x:v>
      </x:c>
      <x:c r="B10" s="23" t="str">
        <x:v>查询CBN-福州仓山-火车南站西广场南侧高架桥旁C-HRHH-512小区的小区标识和基站标识。</x:v>
      </x:c>
      <x:c r="C10" s="23" t="str">
        <x:v>查询小区CBN-福州仓山-火车南站西广场南侧高架桥旁C-HRHH-512的小区标识和基站标识</x:v>
      </x:c>
      <x:c r="D10" s="23" t="str">
        <x:v>AICO错误/失败</x:v>
      </x:c>
      <x:c r="E10" s="23" t="str">
        <x:v>HTTP 404</x:v>
      </x:c>
      <x:c r="F10" s="21" t="n">
        <x:v>1</x:v>
      </x:c>
      <x:c r="G10" s="21" t="str">
        <x:v>2026-08-12T09:59:21.887</x:v>
      </x:c>
      <x:c r="H10" s="36" t="n">
        <x:v>67.26</x:v>
      </x:c>
      <x:c r="I10" s="36" t="n">
        <x:f>H10/1000</x:f>
        <x:v>0.06726</x:v>
      </x:c>
      <x:c r="J10" s="21" t="str">
        <x:v>data2/dsv4_2_aico.jsonl</x:v>
      </x:c>
      <x:c r="K10" s="21" t="n">
        <x:v>3</x:v>
      </x:c>
      <x:c r="L10" s="21" t="str">
        <x:v>original精确文本</x:v>
      </x:c>
    </x:row>
    <x:row r="11">
      <x:c r="A11" s="38" t="n">
        <x:v>4</x:v>
      </x:c>
      <x:c r="B11" s="23" t="str">
        <x:v>确认一下深圳梅沙湾二D-HRH-3小区的方向角是多少。</x:v>
      </x:c>
      <x:c r="C11" s="23" t="str">
        <x:v>查询深圳梅沙湾二D-HRH-3小区的方向角</x:v>
      </x:c>
      <x:c r="D11" s="23" t="str">
        <x:v>AICO错误/失败</x:v>
      </x:c>
      <x:c r="E11" s="23" t="str">
        <x:v>HTTP 404</x:v>
      </x:c>
      <x:c r="F11" s="21" t="n">
        <x:v>1</x:v>
      </x:c>
      <x:c r="G11" s="21" t="str">
        <x:v>2026-08-12T09:59:23.092</x:v>
      </x:c>
      <x:c r="H11" s="36" t="n">
        <x:v>67.216</x:v>
      </x:c>
      <x:c r="I11" s="36" t="n">
        <x:f>H11/1000</x:f>
        <x:v>0.067216</x:v>
      </x:c>
      <x:c r="J11" s="21" t="str">
        <x:v>data2/dsv4_2_aico.jsonl</x:v>
      </x:c>
      <x:c r="K11" s="21" t="n">
        <x:v>4</x:v>
      </x:c>
      <x:c r="L11" s="21" t="str">
        <x:v>original精确文本</x:v>
      </x:c>
    </x:row>
    <x:row r="12">
      <x:c r="A12" s="38" t="n">
        <x:v>5</x:v>
      </x:c>
      <x:c r="B12" s="23" t="str">
        <x:v>找出CBN-福州晋安-高铁鼓山1号隧道洞室1C-HRRH站点下小区的经度和纬度。</x:v>
      </x:c>
      <x:c r="C12" s="23" t="str">
        <x:v>查询站点 CBN-福州晋安-高铁鼓山1号隧道洞室1C-HRRH 下所有小区的经度和纬度（工程参数）</x:v>
      </x:c>
      <x:c r="D12" s="23" t="str">
        <x:v>AICO错误/失败</x:v>
      </x:c>
      <x:c r="E12" s="23" t="str">
        <x:v>HTTP 404</x:v>
      </x:c>
      <x:c r="F12" s="21" t="n">
        <x:v>1</x:v>
      </x:c>
      <x:c r="G12" s="21" t="str">
        <x:v>2026-08-12T09:59:24.309</x:v>
      </x:c>
      <x:c r="H12" s="36" t="n">
        <x:v>67.192</x:v>
      </x:c>
      <x:c r="I12" s="36" t="n">
        <x:f>H12/1000</x:f>
        <x:v>0.06719199999999999</x:v>
      </x:c>
      <x:c r="J12" s="21" t="str">
        <x:v>data2/dsv4_2_aico.jsonl</x:v>
      </x:c>
      <x:c r="K12" s="21" t="n">
        <x:v>5</x:v>
      </x:c>
      <x:c r="L12" s="21" t="str">
        <x:v>original精确文本</x:v>
      </x:c>
    </x:row>
    <x:row r="13">
      <x:c r="A13" s="38" t="n">
        <x:v>6</x:v>
      </x:c>
      <x:c r="B13" s="23" t="str">
        <x:v>帮我查一下CBN-福州晋安-福厦高铁苔井山隧道入口（左侧）C-HRRH-513和CBN-福州仓山-福厦高铁鸡笼山隧道C-HRRH-513这两个小区的方位角、电子下倾角和机械下倾角。</x:v>
      </x:c>
      <x:c r="C13" s="23" t="str">
        <x:v>查询小区 CBN-福州晋安-福厦高铁苔井山隧道入口（左侧）C-HRRH-513 和 CBN-福州仓山-福厦高铁鸡笼山隧道C-HRRH-513 的方位角、电子下倾角和机械下倾角</x:v>
      </x:c>
      <x:c r="D13" s="23" t="str">
        <x:v>AICO错误/失败</x:v>
      </x:c>
      <x:c r="E13" s="23" t="str">
        <x:v>HTTP 404</x:v>
      </x:c>
      <x:c r="F13" s="21" t="n">
        <x:v>1</x:v>
      </x:c>
      <x:c r="G13" s="21" t="str">
        <x:v>2026-08-12T09:59:25.480</x:v>
      </x:c>
      <x:c r="H13" s="36" t="n">
        <x:v>67.267</x:v>
      </x:c>
      <x:c r="I13" s="36" t="n">
        <x:f>H13/1000</x:f>
        <x:v>0.067267</x:v>
      </x:c>
      <x:c r="J13" s="21" t="str">
        <x:v>data2/dsv4_2_aico.jsonl</x:v>
      </x:c>
      <x:c r="K13" s="21" t="n">
        <x:v>6</x:v>
      </x:c>
      <x:c r="L13" s="21" t="str">
        <x:v>original精确文本</x:v>
      </x:c>
    </x:row>
    <x:row r="14">
      <x:c r="A14" s="38" t="n">
        <x:v>7</x:v>
      </x:c>
      <x:c r="B14" s="23" t="str">
        <x:v>看一下深圳东华风车D-HRH和CBN-深圳上威梅沙二U-H5H这两个站点下小区的基站标识、纬度和设备厂商。</x:v>
      </x:c>
      <x:c r="C14" s="23" t="str">
        <x:v>查询深圳东华风车D-HRH和CBN-深圳上威梅沙二U-H5H这两个站点下所有小区的基站标识、纬度和设备厂商</x:v>
      </x:c>
      <x:c r="D14" s="23" t="str">
        <x:v>AICO错误/失败</x:v>
      </x:c>
      <x:c r="E14" s="23" t="str">
        <x:v>HTTP 404</x:v>
      </x:c>
      <x:c r="F14" s="21" t="n">
        <x:v>1</x:v>
      </x:c>
      <x:c r="G14" s="21" t="str">
        <x:v>2026-08-12T09:59:26.656</x:v>
      </x:c>
      <x:c r="H14" s="36" t="n">
        <x:v>66.976</x:v>
      </x:c>
      <x:c r="I14" s="36" t="n">
        <x:f>H14/1000</x:f>
        <x:v>0.066976</x:v>
      </x:c>
      <x:c r="J14" s="21" t="str">
        <x:v>data2/dsv4_2_aico.jsonl</x:v>
      </x:c>
      <x:c r="K14" s="21" t="n">
        <x:v>7</x:v>
      </x:c>
      <x:c r="L14" s="21" t="str">
        <x:v>original精确文本</x:v>
      </x:c>
    </x:row>
    <x:row r="15">
      <x:c r="A15" s="38" t="n">
        <x:v>8</x:v>
      </x:c>
      <x:c r="B15" s="23" t="str">
        <x:v>对比一下CBN-深圳梅沙湾U-H5H-0712、CBN-深圳梅沙湾U-H5H-0711和CBN-深圳东海岸三[CBN-深圳天麓八区U-H5H]U-H5H-0711这三个小区的移动国家码、方向角和天线高度。</x:v>
      </x:c>
      <x:c r="C15" s="23" t="str">
        <x:v>查询小区CBN-深圳梅沙湾U-H5H-0712、CBN-深圳梅沙湾U-H5H-0711和CBN-深圳东海岸三[CBN-深圳天麓八区U-H5H]U-H5H-0711的移动国家码、方向角和天线高度</x:v>
      </x:c>
      <x:c r="D15" s="23" t="str">
        <x:v>AICO错误/失败</x:v>
      </x:c>
      <x:c r="E15" s="23" t="str">
        <x:v>HTTP 404</x:v>
      </x:c>
      <x:c r="F15" s="21" t="n">
        <x:v>1</x:v>
      </x:c>
      <x:c r="G15" s="21" t="str">
        <x:v>2026-08-12T09:59:27.846</x:v>
      </x:c>
      <x:c r="H15" s="36" t="n">
        <x:v>67.41</x:v>
      </x:c>
      <x:c r="I15" s="36" t="n">
        <x:f>H15/1000</x:f>
        <x:v>0.06741</x:v>
      </x:c>
      <x:c r="J15" s="21" t="str">
        <x:v>data2/dsv4_2_aico.jsonl</x:v>
      </x:c>
      <x:c r="K15" s="21" t="n">
        <x:v>8</x:v>
      </x:c>
      <x:c r="L15" s="21" t="str">
        <x:v>original精确文本</x:v>
      </x:c>
    </x:row>
    <x:row r="16">
      <x:c r="A16" s="38" t="n">
        <x:v>9</x:v>
      </x:c>
      <x:c r="B16" s="23" t="str">
        <x:v>找出CBN-福州晋安-站东路三环北路交叉西C-HRRH和CBN-福州仓山-高铁鸡笼山隧道入口C-HRRH这两个站点下小区的经度、纬度和方位角。</x:v>
      </x:c>
      <x:c r="C16" s="23" t="str">
        <x:v>查询站点 CBN-福州晋安-站东路三环北路交叉西C-HRRH 和 CBN-福州仓山-高铁鸡笼山隧道入口C-HRRH 下所有小区的经度、纬度和方位角</x:v>
      </x:c>
      <x:c r="D16" s="23" t="str">
        <x:v>AICO错误/失败</x:v>
      </x:c>
      <x:c r="E16" s="23" t="str">
        <x:v>HTTP 404</x:v>
      </x:c>
      <x:c r="F16" s="21" t="n">
        <x:v>1</x:v>
      </x:c>
      <x:c r="G16" s="21" t="str">
        <x:v>2026-08-12T09:59:29.050</x:v>
      </x:c>
      <x:c r="H16" s="36" t="n">
        <x:v>67.515</x:v>
      </x:c>
      <x:c r="I16" s="36" t="n">
        <x:f>H16/1000</x:f>
        <x:v>0.067515</x:v>
      </x:c>
      <x:c r="J16" s="21" t="str">
        <x:v>data2/dsv4_2_aico.jsonl</x:v>
      </x:c>
      <x:c r="K16" s="21" t="n">
        <x:v>9</x:v>
      </x:c>
      <x:c r="L16" s="21" t="str">
        <x:v>original精确文本</x:v>
      </x:c>
    </x:row>
    <x:row r="17">
      <x:c r="A17" s="38" t="n">
        <x:v>9</x:v>
      </x:c>
      <x:c r="B17" s="23" t="str">
        <x:v>找出CBN-福州晋安-站东路三环北路交叉西C-HRRH和CBN-福州仓山-高铁鸡笼山隧道入口C-HRRH这两个站点下小区的经度、纬度和方位角。</x:v>
      </x:c>
      <x:c r="C17" s="23" t="str">
        <x:v>查询站点 CBN-福州晋安-站东路三环北路交叉西C-HRRH 和 CBN-福州仓山-高铁鸡笼山隧道入口C-HRRH 下所有小区的经度、纬度和方位角</x:v>
      </x:c>
      <x:c r="D17" s="23" t="str">
        <x:v>AICO错误/失败</x:v>
      </x:c>
      <x:c r="E17" s="23" t="str">
        <x:v>HTTP 404</x:v>
      </x:c>
      <x:c r="F17" s="21" t="n">
        <x:v>2</x:v>
      </x:c>
      <x:c r="G17" s="21" t="str">
        <x:v>2026-08-12T10:00:32.561</x:v>
      </x:c>
      <x:c r="H17" s="36" t="n">
        <x:v>68.109</x:v>
      </x:c>
      <x:c r="I17" s="36" t="n">
        <x:f>H17/1000</x:f>
        <x:v>0.06810899999999999</x:v>
      </x:c>
      <x:c r="J17" s="21" t="str">
        <x:v>data2/dsv4_2_aico.jsonl</x:v>
      </x:c>
      <x:c r="K17" s="21" t="n">
        <x:v>10</x:v>
      </x:c>
      <x:c r="L17" s="21" t="str">
        <x:v>original精确文本</x:v>
      </x:c>
    </x:row>
    <x:row r="18">
      <x:c r="A18" s="38" t="n">
        <x:v>1</x:v>
      </x:c>
      <x:c r="B18" s="23" t="str">
        <x:v>帮我查一下深圳大梅沙D-HRH-2小区的经度、纬度和方位角。</x:v>
      </x:c>
      <x:c r="C18" s="23" t="str">
        <x:v>查询深圳大梅沙D-HRH-2小区的经度、纬度和方位角</x:v>
      </x:c>
      <x:c r="D18" s="23" t="str">
        <x:v>AICO错误/失败</x:v>
      </x:c>
      <x:c r="E18" s="23" t="str">
        <x:v>HTTP 404</x:v>
      </x:c>
      <x:c r="F18" s="21" t="n">
        <x:v>2</x:v>
      </x:c>
      <x:c r="G18" s="21" t="str">
        <x:v>2026-08-12T10:01:24.190</x:v>
      </x:c>
      <x:c r="H18" s="36" t="n">
        <x:v>69.309</x:v>
      </x:c>
      <x:c r="I18" s="36" t="n">
        <x:f>H18/1000</x:f>
        <x:v>0.069309</x:v>
      </x:c>
      <x:c r="J18" s="21" t="str">
        <x:v>data2/dsv4_2_aico.jsonl</x:v>
      </x:c>
      <x:c r="K18" s="21" t="n">
        <x:v>11</x:v>
      </x:c>
      <x:c r="L18" s="21" t="str">
        <x:v>original精确文本</x:v>
      </x:c>
    </x:row>
    <x:row r="19">
      <x:c r="A19" s="38" t="n">
        <x:v>2</x:v>
      </x:c>
      <x:c r="B19" s="23" t="str">
        <x:v>看一下CBN-深圳天麓八区U-H5H站点下小区的天线高度和机械下倾角。</x:v>
      </x:c>
      <x:c r="C19" s="23" t="str">
        <x:v>查询CBN-深圳天麓八区U-H5H站点下所有小区的天线高度和机械下倾角</x:v>
      </x:c>
      <x:c r="D19" s="23" t="str">
        <x:v>AICO错误/失败</x:v>
      </x:c>
      <x:c r="E19" s="23" t="str">
        <x:v>HTTP 404</x:v>
      </x:c>
      <x:c r="F19" s="21" t="n">
        <x:v>2</x:v>
      </x:c>
      <x:c r="G19" s="21" t="str">
        <x:v>2026-08-12T10:01:25.384</x:v>
      </x:c>
      <x:c r="H19" s="36" t="n">
        <x:v>67.419</x:v>
      </x:c>
      <x:c r="I19" s="36" t="n">
        <x:f>H19/1000</x:f>
        <x:v>0.06741899999999999</x:v>
      </x:c>
      <x:c r="J19" s="21" t="str">
        <x:v>data2/dsv4_2_aico.jsonl</x:v>
      </x:c>
      <x:c r="K19" s="21" t="n">
        <x:v>12</x:v>
      </x:c>
      <x:c r="L19" s="21" t="str">
        <x:v>original精确文本</x:v>
      </x:c>
    </x:row>
    <x:row r="20">
      <x:c r="A20" s="38" t="n">
        <x:v>3</x:v>
      </x:c>
      <x:c r="B20" s="23" t="str">
        <x:v>查询CBN-福州仓山-火车南站西广场南侧高架桥旁C-HRHH-512小区的小区标识和基站标识。</x:v>
      </x:c>
      <x:c r="C20" s="23" t="str">
        <x:v>查询小区CBN-福州仓山-火车南站西广场南侧高架桥旁C-HRHH-512的小区标识和基站标识</x:v>
      </x:c>
      <x:c r="D20" s="23" t="str">
        <x:v>AICO错误/失败</x:v>
      </x:c>
      <x:c r="E20" s="23" t="str">
        <x:v>HTTP 404</x:v>
      </x:c>
      <x:c r="F20" s="21" t="n">
        <x:v>2</x:v>
      </x:c>
      <x:c r="G20" s="21" t="str">
        <x:v>2026-08-12T10:01:26.574</x:v>
      </x:c>
      <x:c r="H20" s="36" t="n">
        <x:v>67.053</x:v>
      </x:c>
      <x:c r="I20" s="36" t="n">
        <x:f>H20/1000</x:f>
        <x:v>0.067053</x:v>
      </x:c>
      <x:c r="J20" s="21" t="str">
        <x:v>data2/dsv4_2_aico.jsonl</x:v>
      </x:c>
      <x:c r="K20" s="21" t="n">
        <x:v>13</x:v>
      </x:c>
      <x:c r="L20" s="21" t="str">
        <x:v>original精确文本</x:v>
      </x:c>
    </x:row>
    <x:row r="21">
      <x:c r="A21" s="38" t="n">
        <x:v>4</x:v>
      </x:c>
      <x:c r="B21" s="23" t="str">
        <x:v>确认一下深圳梅沙湾二D-HRH-3小区的方向角是多少。</x:v>
      </x:c>
      <x:c r="C21" s="23" t="str">
        <x:v>查询深圳梅沙湾二D-HRH-3小区的方向角</x:v>
      </x:c>
      <x:c r="D21" s="23" t="str">
        <x:v>AICO错误/失败</x:v>
      </x:c>
      <x:c r="E21" s="23" t="str">
        <x:v>HTTP 404</x:v>
      </x:c>
      <x:c r="F21" s="21" t="n">
        <x:v>2</x:v>
      </x:c>
      <x:c r="G21" s="21" t="str">
        <x:v>2026-08-12T10:01:27.767</x:v>
      </x:c>
      <x:c r="H21" s="36" t="n">
        <x:v>67.258</x:v>
      </x:c>
      <x:c r="I21" s="36" t="n">
        <x:f>H21/1000</x:f>
        <x:v>0.067258</x:v>
      </x:c>
      <x:c r="J21" s="21" t="str">
        <x:v>data2/dsv4_2_aico.jsonl</x:v>
      </x:c>
      <x:c r="K21" s="21" t="n">
        <x:v>14</x:v>
      </x:c>
      <x:c r="L21" s="21" t="str">
        <x:v>original精确文本</x:v>
      </x:c>
    </x:row>
    <x:row r="22">
      <x:c r="A22" s="38" t="n">
        <x:v>5</x:v>
      </x:c>
      <x:c r="B22" s="23" t="str">
        <x:v>找出CBN-福州晋安-高铁鼓山1号隧道洞室1C-HRRH站点下小区的经度和纬度。</x:v>
      </x:c>
      <x:c r="C22" s="23" t="str">
        <x:v>查询站点 CBN-福州晋安-高铁鼓山1号隧道洞室1C-HRRH 下所有小区的经度和纬度（工程参数）</x:v>
      </x:c>
      <x:c r="D22" s="23" t="str">
        <x:v>AICO错误/失败</x:v>
      </x:c>
      <x:c r="E22" s="23" t="str">
        <x:v>HTTP 404</x:v>
      </x:c>
      <x:c r="F22" s="21" t="n">
        <x:v>2</x:v>
      </x:c>
      <x:c r="G22" s="21" t="str">
        <x:v>2026-08-12T10:01:28.961</x:v>
      </x:c>
      <x:c r="H22" s="36" t="n">
        <x:v>67.508</x:v>
      </x:c>
      <x:c r="I22" s="36" t="n">
        <x:f>H22/1000</x:f>
        <x:v>0.067508</x:v>
      </x:c>
      <x:c r="J22" s="21" t="str">
        <x:v>data2/dsv4_2_aico.jsonl</x:v>
      </x:c>
      <x:c r="K22" s="21" t="n">
        <x:v>15</x:v>
      </x:c>
      <x:c r="L22" s="21" t="str">
        <x:v>original精确文本</x:v>
      </x:c>
    </x:row>
    <x:row r="23">
      <x:c r="A23" s="38" t="n">
        <x:v>6</x:v>
      </x:c>
      <x:c r="B23" s="23" t="str">
        <x:v>帮我查一下CBN-福州晋安-福厦高铁苔井山隧道入口（左侧）C-HRRH-513和CBN-福州仓山-福厦高铁鸡笼山隧道C-HRRH-513这两个小区的方位角、电子下倾角和机械下倾角。</x:v>
      </x:c>
      <x:c r="C23" s="23" t="str">
        <x:v>查询小区 CBN-福州晋安-福厦高铁苔井山隧道入口（左侧）C-HRRH-513 和 CBN-福州仓山-福厦高铁鸡笼山隧道C-HRRH-513 的方位角、电子下倾角和机械下倾角</x:v>
      </x:c>
      <x:c r="D23" s="23" t="str">
        <x:v>AICO错误/失败</x:v>
      </x:c>
      <x:c r="E23" s="23" t="str">
        <x:v>HTTP 404</x:v>
      </x:c>
      <x:c r="F23" s="21" t="n">
        <x:v>2</x:v>
      </x:c>
      <x:c r="G23" s="21" t="str">
        <x:v>2026-08-12T10:01:30.302</x:v>
      </x:c>
      <x:c r="H23" s="36" t="n">
        <x:v>67.27</x:v>
      </x:c>
      <x:c r="I23" s="36" t="n">
        <x:f>H23/1000</x:f>
        <x:v>0.06727</x:v>
      </x:c>
      <x:c r="J23" s="21" t="str">
        <x:v>data2/dsv4_2_aico.jsonl</x:v>
      </x:c>
      <x:c r="K23" s="21" t="n">
        <x:v>16</x:v>
      </x:c>
      <x:c r="L23" s="21" t="str">
        <x:v>original精确文本</x:v>
      </x:c>
    </x:row>
    <x:row r="24">
      <x:c r="A24" s="38" t="n">
        <x:v>7</x:v>
      </x:c>
      <x:c r="B24" s="23" t="str">
        <x:v>看一下深圳东华风车D-HRH和CBN-深圳上威梅沙二U-H5H这两个站点下小区的基站标识、纬度和设备厂商。</x:v>
      </x:c>
      <x:c r="C24" s="23" t="str">
        <x:v>查询深圳东华风车D-HRH和CBN-深圳上威梅沙二U-H5H这两个站点下所有小区的基站标识、纬度和设备厂商</x:v>
      </x:c>
      <x:c r="D24" s="23" t="str">
        <x:v>AICO错误/失败</x:v>
      </x:c>
      <x:c r="E24" s="23" t="str">
        <x:v>HTTP 404</x:v>
      </x:c>
      <x:c r="F24" s="21" t="n">
        <x:v>2</x:v>
      </x:c>
      <x:c r="G24" s="21" t="str">
        <x:v>2026-08-12T10:01:31.483</x:v>
      </x:c>
      <x:c r="H24" s="36" t="n">
        <x:v>67.189</x:v>
      </x:c>
      <x:c r="I24" s="36" t="n">
        <x:f>H24/1000</x:f>
        <x:v>0.067189</x:v>
      </x:c>
      <x:c r="J24" s="21" t="str">
        <x:v>data2/dsv4_2_aico.jsonl</x:v>
      </x:c>
      <x:c r="K24" s="21" t="n">
        <x:v>17</x:v>
      </x:c>
      <x:c r="L24" s="21" t="str">
        <x:v>original精确文本</x:v>
      </x:c>
    </x:row>
    <x:row r="25">
      <x:c r="A25" s="38" t="n">
        <x:v>8</x:v>
      </x:c>
      <x:c r="B25" s="23" t="str">
        <x:v>对比一下CBN-深圳梅沙湾U-H5H-0712、CBN-深圳梅沙湾U-H5H-0711和CBN-深圳东海岸三[CBN-深圳天麓八区U-H5H]U-H5H-0711这三个小区的移动国家码、方向角和天线高度。</x:v>
      </x:c>
      <x:c r="C25" s="23" t="str">
        <x:v>查询小区CBN-深圳梅沙湾U-H5H-0712、CBN-深圳梅沙湾U-H5H-0711和CBN-深圳东海岸三[CBN-深圳天麓八区U-H5H]U-H5H-0711的移动国家码、方向角和天线高度</x:v>
      </x:c>
      <x:c r="D25" s="23" t="str">
        <x:v>AICO错误/失败</x:v>
      </x:c>
      <x:c r="E25" s="23" t="str">
        <x:v>HTTP 404</x:v>
      </x:c>
      <x:c r="F25" s="21" t="n">
        <x:v>2</x:v>
      </x:c>
      <x:c r="G25" s="21" t="str">
        <x:v>2026-08-12T10:01:32.656</x:v>
      </x:c>
      <x:c r="H25" s="36" t="n">
        <x:v>67.111</x:v>
      </x:c>
      <x:c r="I25" s="36" t="n">
        <x:f>H25/1000</x:f>
        <x:v>0.067111</x:v>
      </x:c>
      <x:c r="J25" s="21" t="str">
        <x:v>data2/dsv4_2_aico.jsonl</x:v>
      </x:c>
      <x:c r="K25" s="21" t="n">
        <x:v>18</x:v>
      </x:c>
      <x:c r="L25" s="21" t="str">
        <x:v>original精确文本</x:v>
      </x:c>
    </x:row>
    <x:row r="26">
      <x:c r="A26" s="38" t="n">
        <x:v>1</x:v>
      </x:c>
      <x:c r="B26" s="23" t="str">
        <x:v>帮我查一下深圳大梅沙D-HRH-2小区的经度、纬度和方位角。</x:v>
      </x:c>
      <x:c r="C26" s="23" t="str">
        <x:v>查询深圳大梅沙D-HRH-2小区的经度、纬度和方位角</x:v>
      </x:c>
      <x:c r="D26" s="23" t="str">
        <x:v>AICO Tool Call - Skill</x:v>
      </x:c>
      <x:c r="E26" s="23" t="str">
        <x:v>Skill</x:v>
      </x:c>
      <x:c r="F26" s="21" t="n">
        <x:v>1</x:v>
      </x:c>
      <x:c r="G26" s="21" t="str">
        <x:v>2026-08-12T10:02:21.585</x:v>
      </x:c>
      <x:c r="H26" s="36" t="n">
        <x:v>4744.913</x:v>
      </x:c>
      <x:c r="I26" s="36" t="n">
        <x:f>H26/1000</x:f>
        <x:v>4.7449129999999995</x:v>
      </x:c>
      <x:c r="J26" s="21" t="str">
        <x:v>data2/dsv4_2_aico.jsonl</x:v>
      </x:c>
      <x:c r="K26" s="21" t="n">
        <x:v>19</x:v>
      </x:c>
      <x:c r="L26" s="21" t="str">
        <x:v>original精确文本</x:v>
      </x:c>
    </x:row>
    <x:row r="27">
      <x:c r="A27" s="38" t="n">
        <x:v>1</x:v>
      </x:c>
      <x:c r="B27" s="23" t="str">
        <x:v>帮我查一下深圳大梅沙D-HRH-2小区的经度、纬度和方位角。</x:v>
      </x:c>
      <x:c r="C27" s="23" t="str">
        <x:v>查询深圳大梅沙D-HRH-2小区的经度、纬度和方位角</x:v>
      </x:c>
      <x:c r="D27" s="23" t="str">
        <x:v>AICO Tool Call - Workflow</x:v>
      </x:c>
      <x:c r="E27" s="23" t="str">
        <x:v>Workflow</x:v>
      </x:c>
      <x:c r="F27" s="21" t="n">
        <x:v>1</x:v>
      </x:c>
      <x:c r="G27" s="21" t="str">
        <x:v>2026-08-12T10:02:26.811</x:v>
      </x:c>
      <x:c r="H27" s="36" t="n">
        <x:v>7717.836</x:v>
      </x:c>
      <x:c r="I27" s="36" t="n">
        <x:f>H27/1000</x:f>
        <x:v>7.717836</x:v>
      </x:c>
      <x:c r="J27" s="21" t="str">
        <x:v>data2/dsv4_2_aico.jsonl</x:v>
      </x:c>
      <x:c r="K27" s="21" t="n">
        <x:v>20</x:v>
      </x:c>
      <x:c r="L27" s="21" t="str">
        <x:v>original精确文本</x:v>
      </x:c>
    </x:row>
    <x:row r="28">
      <x:c r="A28" s="38" t="n">
        <x:v>1</x:v>
      </x:c>
      <x:c r="B28" s="23" t="str">
        <x:v>帮我查一下深圳大梅沙D-HRH-2小区的经度、纬度和方位角。</x:v>
      </x:c>
      <x:c r="C28" s="23" t="str">
        <x:v>查询深圳大梅沙D-HRH-2小区的经度、纬度和方位角</x:v>
      </x:c>
      <x:c r="D28" s="23" t="str">
        <x:v>Recipe - DeepSeek</x:v>
      </x:c>
      <x:c r="E28" s="23" t="str">
        <x:v>DeepSeek recipe调用</x:v>
      </x:c>
      <x:c r="F28" s="21" t="n">
        <x:v>1</x:v>
      </x:c>
      <x:c r="G28" s="21" t="str">
        <x:v>2026-08-12T10:02:36.232</x:v>
      </x:c>
      <x:c r="H28" s="36" t="n">
        <x:v>3080.97</x:v>
      </x:c>
      <x:c r="I28" s="36" t="n">
        <x:f>H28/1000</x:f>
        <x:v>3.0809699999999998</x:v>
      </x:c>
      <x:c r="J28" s="21" t="str">
        <x:v>data2/dsv4_2_recipe_ds.jsonl</x:v>
      </x:c>
      <x:c r="K28" s="21" t="n">
        <x:v>5</x:v>
      </x:c>
      <x:c r="L28" s="21" t="str">
        <x:v>processed精确文本</x:v>
      </x:c>
    </x:row>
    <x:row r="29">
      <x:c r="A29" s="38" t="n">
        <x:v>1</x:v>
      </x:c>
      <x:c r="B29" s="23" t="str">
        <x:v>帮我查一下深圳大梅沙D-HRH-2小区的经度、纬度和方位角。</x:v>
      </x:c>
      <x:c r="C29" s="23" t="str">
        <x:v>查询深圳大梅沙D-HRH-2小区的经度、纬度和方位角</x:v>
      </x:c>
      <x:c r="D29" s="23" t="str">
        <x:v>Recipe - Qwen执行</x:v>
      </x:c>
      <x:c r="E29" s="23" t="str">
        <x:v>同一问题第1次Qwen调用</x:v>
      </x:c>
      <x:c r="F29" s="21" t="n">
        <x:v>1</x:v>
      </x:c>
      <x:c r="G29" s="21" t="str">
        <x:v>2026-08-12T10:02:39.678</x:v>
      </x:c>
      <x:c r="H29" s="36" t="n">
        <x:v>1313.32</x:v>
      </x:c>
      <x:c r="I29" s="36" t="n">
        <x:f>H29/1000</x:f>
        <x:v>1.31332</x:v>
      </x:c>
      <x:c r="J29" s="21" t="str">
        <x:v>data2/qwen3_2.jsonl</x:v>
      </x:c>
      <x:c r="K29" s="21" t="n">
        <x:v>3</x:v>
      </x:c>
      <x:c r="L29" s="21" t="str">
        <x:v>processed精确文本</x:v>
      </x:c>
    </x:row>
    <x:row r="30">
      <x:c r="A30" s="38" t="n">
        <x:v>1</x:v>
      </x:c>
      <x:c r="B30" s="23" t="str">
        <x:v>帮我查一下深圳大梅沙D-HRH-2小区的经度、纬度和方位角。</x:v>
      </x:c>
      <x:c r="C30" s="23" t="str">
        <x:v>查询深圳大梅沙D-HRH-2小区的经度、纬度和方位角</x:v>
      </x:c>
      <x:c r="D30" s="23" t="str">
        <x:v>Recipe - Qwen总结</x:v>
      </x:c>
      <x:c r="E30" s="23" t="str">
        <x:v>同一问题最后一次Qwen调用</x:v>
      </x:c>
      <x:c r="F30" s="21" t="n">
        <x:v>1</x:v>
      </x:c>
      <x:c r="G30" s="21" t="str">
        <x:v>2026-08-12T10:02:41.527</x:v>
      </x:c>
      <x:c r="H30" s="36" t="n">
        <x:v>1439.374</x:v>
      </x:c>
      <x:c r="I30" s="36" t="n">
        <x:f>H30/1000</x:f>
        <x:v>1.439374</x:v>
      </x:c>
      <x:c r="J30" s="21" t="str">
        <x:v>data2/qwen3_2.jsonl</x:v>
      </x:c>
      <x:c r="K30" s="21" t="n">
        <x:v>4</x:v>
      </x:c>
      <x:c r="L30" s="21" t="str">
        <x:v>processed精确文本</x:v>
      </x:c>
    </x:row>
    <x:row r="31">
      <x:c r="A31" s="38" t="n">
        <x:v>1</x:v>
      </x:c>
      <x:c r="B31" s="23" t="str">
        <x:v>帮我查一下深圳大梅沙D-HRH-2小区的经度、纬度和方位角。</x:v>
      </x:c>
      <x:c r="C31" s="23" t="str">
        <x:v>查询深圳大梅沙D-HRH-2小区的经度、纬度和方位角</x:v>
      </x:c>
      <x:c r="D31" s="23" t="str">
        <x:v>AICO总结</x:v>
      </x:c>
      <x:c r="E31" s="23" t="str">
        <x:v>无tool_calls</x:v>
      </x:c>
      <x:c r="F31" s="21" t="n">
        <x:v>1</x:v>
      </x:c>
      <x:c r="G31" s="21" t="str">
        <x:v>2026-08-12T10:02:43.267</x:v>
      </x:c>
      <x:c r="H31" s="36" t="n">
        <x:v>7069.81</x:v>
      </x:c>
      <x:c r="I31" s="36" t="n">
        <x:f>H31/1000</x:f>
        <x:v>7.06981</x:v>
      </x:c>
      <x:c r="J31" s="21" t="str">
        <x:v>data2/dsv4_2_aico.jsonl</x:v>
      </x:c>
      <x:c r="K31" s="21" t="n">
        <x:v>21</x:v>
      </x:c>
      <x:c r="L31" s="21" t="str">
        <x:v>original精确文本</x:v>
      </x:c>
    </x:row>
    <x:row r="32">
      <x:c r="A32" s="38" t="n">
        <x:v>1</x:v>
      </x:c>
      <x:c r="B32" s="23" t="str">
        <x:v>帮我查一下深圳大梅沙D-HRH-2小区的经度、纬度和方位角。</x:v>
      </x:c>
      <x:c r="C32" s="23" t="str">
        <x:v>查询深圳大梅沙D-HRH-2小区的经度、纬度和方位角</x:v>
      </x:c>
      <x:c r="D32" s="23" t="str">
        <x:v>问题推荐</x:v>
      </x:c>
      <x:c r="E32" s="23" t="str">
        <x:v>后续问题推荐</x:v>
      </x:c>
      <x:c r="F32" s="21" t="n">
        <x:v>1</x:v>
      </x:c>
      <x:c r="G32" s="21" t="str">
        <x:v>2026-08-12T10:02:50.634</x:v>
      </x:c>
      <x:c r="H32" s="36" t="n">
        <x:v>5246.118</x:v>
      </x:c>
      <x:c r="I32" s="36" t="n">
        <x:f>H32/1000</x:f>
        <x:v>5.246118</x:v>
      </x:c>
      <x:c r="J32" s="21" t="str">
        <x:v>data2/dsv4_2_recipe_ds.jsonl</x:v>
      </x:c>
      <x:c r="K32" s="21" t="n">
        <x:v>6</x:v>
      </x:c>
      <x:c r="L32" s="21" t="str">
        <x:v>original精确文本</x:v>
      </x:c>
    </x:row>
    <x:row r="33">
      <x:c r="A33" s="38" t="n">
        <x:v>2</x:v>
      </x:c>
      <x:c r="B33" s="23" t="str">
        <x:v>看一下CBN-深圳天麓八区U-H5H站点下小区的天线高度和机械下倾角。</x:v>
      </x:c>
      <x:c r="C33" s="23" t="str">
        <x:v>查询CBN-深圳天麓八区U-H5H站点下所有小区的天线高度和机械下倾角</x:v>
      </x:c>
      <x:c r="D33" s="23" t="str">
        <x:v>AICO Tool Call - Skill</x:v>
      </x:c>
      <x:c r="E33" s="23" t="str">
        <x:v>Skill</x:v>
      </x:c>
      <x:c r="F33" s="21" t="n">
        <x:v>1</x:v>
      </x:c>
      <x:c r="G33" s="21" t="str">
        <x:v>2026-08-12T10:02:51.542</x:v>
      </x:c>
      <x:c r="H33" s="36" t="n">
        <x:v>5605.679</x:v>
      </x:c>
      <x:c r="I33" s="36" t="n">
        <x:f>H33/1000</x:f>
        <x:v>5.605679</x:v>
      </x:c>
      <x:c r="J33" s="21" t="str">
        <x:v>data2/dsv4_2_aico.jsonl</x:v>
      </x:c>
      <x:c r="K33" s="21" t="n">
        <x:v>22</x:v>
      </x:c>
      <x:c r="L33" s="21" t="str">
        <x:v>original精确文本</x:v>
      </x:c>
    </x:row>
    <x:row r="34">
      <x:c r="A34" s="38" t="n">
        <x:v>2</x:v>
      </x:c>
      <x:c r="B34" s="23" t="str">
        <x:v>看一下CBN-深圳天麓八区U-H5H站点下小区的天线高度和机械下倾角。</x:v>
      </x:c>
      <x:c r="C34" s="23" t="str">
        <x:v>查询CBN-深圳天麓八区U-H5H站点下所有小区的天线高度和机械下倾角</x:v>
      </x:c>
      <x:c r="D34" s="23" t="str">
        <x:v>AICO Tool Call - Workflow</x:v>
      </x:c>
      <x:c r="E34" s="23" t="str">
        <x:v>Workflow</x:v>
      </x:c>
      <x:c r="F34" s="21" t="n">
        <x:v>1</x:v>
      </x:c>
      <x:c r="G34" s="21" t="str">
        <x:v>2026-08-12T10:02:57.328</x:v>
      </x:c>
      <x:c r="H34" s="36" t="n">
        <x:v>5233.171</x:v>
      </x:c>
      <x:c r="I34" s="36" t="n">
        <x:f>H34/1000</x:f>
        <x:v>5.2331710000000005</x:v>
      </x:c>
      <x:c r="J34" s="21" t="str">
        <x:v>data2/dsv4_2_aico.jsonl</x:v>
      </x:c>
      <x:c r="K34" s="21" t="n">
        <x:v>23</x:v>
      </x:c>
      <x:c r="L34" s="21" t="str">
        <x:v>original精确文本</x:v>
      </x:c>
    </x:row>
    <x:row r="35">
      <x:c r="A35" s="38" t="n">
        <x:v>2</x:v>
      </x:c>
      <x:c r="B35" s="23" t="str">
        <x:v>看一下CBN-深圳天麓八区U-H5H站点下小区的天线高度和机械下倾角。</x:v>
      </x:c>
      <x:c r="C35" s="23" t="str">
        <x:v>查询CBN-深圳天麓八区U-H5H站点下所有小区的天线高度和机械下倾角</x:v>
      </x:c>
      <x:c r="D35" s="23" t="str">
        <x:v>Recipe - DeepSeek</x:v>
      </x:c>
      <x:c r="E35" s="23" t="str">
        <x:v>DeepSeek recipe调用</x:v>
      </x:c>
      <x:c r="F35" s="21" t="n">
        <x:v>1</x:v>
      </x:c>
      <x:c r="G35" s="21" t="str">
        <x:v>2026-08-12T10:03:03.914</x:v>
      </x:c>
      <x:c r="H35" s="36" t="n">
        <x:v>3353.376</x:v>
      </x:c>
      <x:c r="I35" s="36" t="n">
        <x:f>H35/1000</x:f>
        <x:v>3.3533760000000004</x:v>
      </x:c>
      <x:c r="J35" s="21" t="str">
        <x:v>data2/dsv4_2_recipe_ds.jsonl</x:v>
      </x:c>
      <x:c r="K35" s="21" t="n">
        <x:v>7</x:v>
      </x:c>
      <x:c r="L35" s="21" t="str">
        <x:v>processed精确文本</x:v>
      </x:c>
    </x:row>
    <x:row r="36">
      <x:c r="A36" s="38" t="n">
        <x:v>2</x:v>
      </x:c>
      <x:c r="B36" s="23" t="str">
        <x:v>看一下CBN-深圳天麓八区U-H5H站点下小区的天线高度和机械下倾角。</x:v>
      </x:c>
      <x:c r="C36" s="23" t="str">
        <x:v>查询CBN-深圳天麓八区U-H5H站点下所有小区的天线高度和机械下倾角</x:v>
      </x:c>
      <x:c r="D36" s="23" t="str">
        <x:v>Recipe - Qwen执行</x:v>
      </x:c>
      <x:c r="E36" s="23" t="str">
        <x:v>同一问题第1次Qwen调用</x:v>
      </x:c>
      <x:c r="F36" s="21" t="n">
        <x:v>1</x:v>
      </x:c>
      <x:c r="G36" s="21" t="str">
        <x:v>2026-08-12T10:03:07.613</x:v>
      </x:c>
      <x:c r="H36" s="36" t="n">
        <x:v>1251.792</x:v>
      </x:c>
      <x:c r="I36" s="36" t="n">
        <x:f>H36/1000</x:f>
        <x:v>1.251792</x:v>
      </x:c>
      <x:c r="J36" s="21" t="str">
        <x:v>data2/qwen3_2.jsonl</x:v>
      </x:c>
      <x:c r="K36" s="21" t="n">
        <x:v>5</x:v>
      </x:c>
      <x:c r="L36" s="21" t="str">
        <x:v>processed精确文本</x:v>
      </x:c>
    </x:row>
    <x:row r="37">
      <x:c r="A37" s="38" t="n">
        <x:v>2</x:v>
      </x:c>
      <x:c r="B37" s="23" t="str">
        <x:v>看一下CBN-深圳天麓八区U-H5H站点下小区的天线高度和机械下倾角。</x:v>
      </x:c>
      <x:c r="C37" s="23" t="str">
        <x:v>查询CBN-深圳天麓八区U-H5H站点下所有小区的天线高度和机械下倾角</x:v>
      </x:c>
      <x:c r="D37" s="23" t="str">
        <x:v>Recipe - Qwen总结</x:v>
      </x:c>
      <x:c r="E37" s="23" t="str">
        <x:v>同一问题最后一次Qwen调用</x:v>
      </x:c>
      <x:c r="F37" s="21" t="n">
        <x:v>1</x:v>
      </x:c>
      <x:c r="G37" s="21" t="str">
        <x:v>2026-08-12T10:03:09.401</x:v>
      </x:c>
      <x:c r="H37" s="36" t="n">
        <x:v>1454.642</x:v>
      </x:c>
      <x:c r="I37" s="36" t="n">
        <x:f>H37/1000</x:f>
        <x:v>1.454642</x:v>
      </x:c>
      <x:c r="J37" s="21" t="str">
        <x:v>data2/qwen3_2.jsonl</x:v>
      </x:c>
      <x:c r="K37" s="21" t="n">
        <x:v>6</x:v>
      </x:c>
      <x:c r="L37" s="21" t="str">
        <x:v>processed精确文本</x:v>
      </x:c>
    </x:row>
    <x:row r="38">
      <x:c r="A38" s="38" t="n">
        <x:v>2</x:v>
      </x:c>
      <x:c r="B38" s="23" t="str">
        <x:v>看一下CBN-深圳天麓八区U-H5H站点下小区的天线高度和机械下倾角。</x:v>
      </x:c>
      <x:c r="C38" s="23" t="str">
        <x:v>查询CBN-深圳天麓八区U-H5H站点下所有小区的天线高度和机械下倾角</x:v>
      </x:c>
      <x:c r="D38" s="23" t="str">
        <x:v>AICO总结</x:v>
      </x:c>
      <x:c r="E38" s="23" t="str">
        <x:v>无tool_calls</x:v>
      </x:c>
      <x:c r="F38" s="21" t="n">
        <x:v>1</x:v>
      </x:c>
      <x:c r="G38" s="21" t="str">
        <x:v>2026-08-12T10:03:11.133</x:v>
      </x:c>
      <x:c r="H38" s="36" t="n">
        <x:v>7640.312</x:v>
      </x:c>
      <x:c r="I38" s="36" t="n">
        <x:f>H38/1000</x:f>
        <x:v>7.640312</x:v>
      </x:c>
      <x:c r="J38" s="21" t="str">
        <x:v>data2/dsv4_2_aico.jsonl</x:v>
      </x:c>
      <x:c r="K38" s="21" t="n">
        <x:v>24</x:v>
      </x:c>
      <x:c r="L38" s="21" t="str">
        <x:v>original精确文本</x:v>
      </x:c>
    </x:row>
    <x:row r="39">
      <x:c r="A39" s="38" t="n">
        <x:v>2</x:v>
      </x:c>
      <x:c r="B39" s="23" t="str">
        <x:v>看一下CBN-深圳天麓八区U-H5H站点下小区的天线高度和机械下倾角。</x:v>
      </x:c>
      <x:c r="C39" s="23" t="str">
        <x:v>查询CBN-深圳天麓八区U-H5H站点下所有小区的天线高度和机械下倾角</x:v>
      </x:c>
      <x:c r="D39" s="23" t="str">
        <x:v>问题推荐</x:v>
      </x:c>
      <x:c r="E39" s="23" t="str">
        <x:v>后续问题推荐</x:v>
      </x:c>
      <x:c r="F39" s="21" t="n">
        <x:v>1</x:v>
      </x:c>
      <x:c r="G39" s="21" t="str">
        <x:v>2026-08-12T10:03:19.057</x:v>
      </x:c>
      <x:c r="H39" s="36" t="n">
        <x:v>5691.532</x:v>
      </x:c>
      <x:c r="I39" s="36" t="n">
        <x:f>H39/1000</x:f>
        <x:v>5.6915320000000005</x:v>
      </x:c>
      <x:c r="J39" s="21" t="str">
        <x:v>data2/dsv4_2_recipe_ds.jsonl</x:v>
      </x:c>
      <x:c r="K39" s="21" t="n">
        <x:v>8</x:v>
      </x:c>
      <x:c r="L39" s="21" t="str">
        <x:v>original精确文本</x:v>
      </x:c>
    </x:row>
    <x:row r="40">
      <x:c r="A40" s="38" t="n">
        <x:v>3</x:v>
      </x:c>
      <x:c r="B40" s="23" t="str">
        <x:v>查询CBN-福州仓山-火车南站西广场南侧高架桥旁C-HRHH-512小区的小区标识和基站标识。</x:v>
      </x:c>
      <x:c r="C40" s="23" t="str">
        <x:v>查询小区CBN-福州仓山-火车南站西广场南侧高架桥旁C-HRHH-512的小区标识和基站标识</x:v>
      </x:c>
      <x:c r="D40" s="23" t="str">
        <x:v>AICO Tool Call - Skill</x:v>
      </x:c>
      <x:c r="E40" s="23" t="str">
        <x:v>Skill</x:v>
      </x:c>
      <x:c r="F40" s="21" t="n">
        <x:v>1</x:v>
      </x:c>
      <x:c r="G40" s="21" t="str">
        <x:v>2026-08-12T10:03:19.959</x:v>
      </x:c>
      <x:c r="H40" s="36" t="n">
        <x:v>5857.95</x:v>
      </x:c>
      <x:c r="I40" s="36" t="n">
        <x:f>H40/1000</x:f>
        <x:v>5.85795</x:v>
      </x:c>
      <x:c r="J40" s="21" t="str">
        <x:v>data2/dsv4_2_aico.jsonl</x:v>
      </x:c>
      <x:c r="K40" s="21" t="n">
        <x:v>25</x:v>
      </x:c>
      <x:c r="L40" s="21" t="str">
        <x:v>original精确文本</x:v>
      </x:c>
    </x:row>
    <x:row r="41">
      <x:c r="A41" s="38" t="n">
        <x:v>3</x:v>
      </x:c>
      <x:c r="B41" s="23" t="str">
        <x:v>查询CBN-福州仓山-火车南站西广场南侧高架桥旁C-HRHH-512小区的小区标识和基站标识。</x:v>
      </x:c>
      <x:c r="C41" s="23" t="str">
        <x:v>查询小区CBN-福州仓山-火车南站西广场南侧高架桥旁C-HRHH-512的小区标识和基站标识</x:v>
      </x:c>
      <x:c r="D41" s="23" t="str">
        <x:v>AICO Tool Call - Workflow</x:v>
      </x:c>
      <x:c r="E41" s="23" t="str">
        <x:v>Workflow</x:v>
      </x:c>
      <x:c r="F41" s="21" t="n">
        <x:v>1</x:v>
      </x:c>
      <x:c r="G41" s="21" t="str">
        <x:v>2026-08-12T10:03:25.990</x:v>
      </x:c>
      <x:c r="H41" s="36" t="n">
        <x:v>5434.837</x:v>
      </x:c>
      <x:c r="I41" s="36" t="n">
        <x:f>H41/1000</x:f>
        <x:v>5.434837000000001</x:v>
      </x:c>
      <x:c r="J41" s="21" t="str">
        <x:v>data2/dsv4_2_aico.jsonl</x:v>
      </x:c>
      <x:c r="K41" s="21" t="n">
        <x:v>26</x:v>
      </x:c>
      <x:c r="L41" s="21" t="str">
        <x:v>original精确文本</x:v>
      </x:c>
    </x:row>
    <x:row r="42">
      <x:c r="A42" s="38" t="n">
        <x:v>3</x:v>
      </x:c>
      <x:c r="B42" s="23" t="str">
        <x:v>查询CBN-福州仓山-火车南站西广场南侧高架桥旁C-HRHH-512小区的小区标识和基站标识。</x:v>
      </x:c>
      <x:c r="C42" s="23" t="str">
        <x:v>查询小区CBN-福州仓山-火车南站西广场南侧高架桥旁C-HRHH-512的小区标识和基站标识</x:v>
      </x:c>
      <x:c r="D42" s="23" t="str">
        <x:v>Recipe - DeepSeek</x:v>
      </x:c>
      <x:c r="E42" s="23" t="str">
        <x:v>DeepSeek recipe调用</x:v>
      </x:c>
      <x:c r="F42" s="21" t="n">
        <x:v>1</x:v>
      </x:c>
      <x:c r="G42" s="21" t="str">
        <x:v>2026-08-12T10:03:32.852</x:v>
      </x:c>
      <x:c r="H42" s="36" t="n">
        <x:v>3668.203</x:v>
      </x:c>
      <x:c r="I42" s="36" t="n">
        <x:f>H42/1000</x:f>
        <x:v>3.668203</x:v>
      </x:c>
      <x:c r="J42" s="21" t="str">
        <x:v>data2/dsv4_2_recipe_ds.jsonl</x:v>
      </x:c>
      <x:c r="K42" s="21" t="n">
        <x:v>9</x:v>
      </x:c>
      <x:c r="L42" s="21" t="str">
        <x:v>processed精确文本</x:v>
      </x:c>
    </x:row>
    <x:row r="43">
      <x:c r="A43" s="38" t="n">
        <x:v>3</x:v>
      </x:c>
      <x:c r="B43" s="23" t="str">
        <x:v>查询CBN-福州仓山-火车南站西广场南侧高架桥旁C-HRHH-512小区的小区标识和基站标识。</x:v>
      </x:c>
      <x:c r="C43" s="23" t="str">
        <x:v>查询小区CBN-福州仓山-火车南站西广场南侧高架桥旁C-HRHH-512的小区标识和基站标识</x:v>
      </x:c>
      <x:c r="D43" s="23" t="str">
        <x:v>Recipe - Qwen执行</x:v>
      </x:c>
      <x:c r="E43" s="23" t="str">
        <x:v>同一问题第1次Qwen调用</x:v>
      </x:c>
      <x:c r="F43" s="21" t="n">
        <x:v>1</x:v>
      </x:c>
      <x:c r="G43" s="21" t="str">
        <x:v>2026-08-12T10:03:36.853</x:v>
      </x:c>
      <x:c r="H43" s="36" t="n">
        <x:v>1313.904</x:v>
      </x:c>
      <x:c r="I43" s="36" t="n">
        <x:f>H43/1000</x:f>
        <x:v>1.313904</x:v>
      </x:c>
      <x:c r="J43" s="21" t="str">
        <x:v>data2/qwen3_2.jsonl</x:v>
      </x:c>
      <x:c r="K43" s="21" t="n">
        <x:v>7</x:v>
      </x:c>
      <x:c r="L43" s="21" t="str">
        <x:v>processed精确文本</x:v>
      </x:c>
    </x:row>
    <x:row r="44">
      <x:c r="A44" s="38" t="n">
        <x:v>3</x:v>
      </x:c>
      <x:c r="B44" s="23" t="str">
        <x:v>查询CBN-福州仓山-火车南站西广场南侧高架桥旁C-HRHH-512小区的小区标识和基站标识。</x:v>
      </x:c>
      <x:c r="C44" s="23" t="str">
        <x:v>查询小区CBN-福州仓山-火车南站西广场南侧高架桥旁C-HRHH-512的小区标识和基站标识</x:v>
      </x:c>
      <x:c r="D44" s="23" t="str">
        <x:v>Recipe - Qwen总结</x:v>
      </x:c>
      <x:c r="E44" s="23" t="str">
        <x:v>同一问题最后一次Qwen调用</x:v>
      </x:c>
      <x:c r="F44" s="21" t="n">
        <x:v>1</x:v>
      </x:c>
      <x:c r="G44" s="21" t="str">
        <x:v>2026-08-12T10:03:38.675</x:v>
      </x:c>
      <x:c r="H44" s="36" t="n">
        <x:v>1599.562</x:v>
      </x:c>
      <x:c r="I44" s="36" t="n">
        <x:f>H44/1000</x:f>
        <x:v>1.599562</x:v>
      </x:c>
      <x:c r="J44" s="21" t="str">
        <x:v>data2/qwen3_2.jsonl</x:v>
      </x:c>
      <x:c r="K44" s="21" t="n">
        <x:v>8</x:v>
      </x:c>
      <x:c r="L44" s="21" t="str">
        <x:v>processed精确文本</x:v>
      </x:c>
    </x:row>
    <x:row r="45">
      <x:c r="A45" s="38" t="n">
        <x:v>3</x:v>
      </x:c>
      <x:c r="B45" s="23" t="str">
        <x:v>查询CBN-福州仓山-火车南站西广场南侧高架桥旁C-HRHH-512小区的小区标识和基站标识。</x:v>
      </x:c>
      <x:c r="C45" s="23" t="str">
        <x:v>查询小区CBN-福州仓山-火车南站西广场南侧高架桥旁C-HRHH-512的小区标识和基站标识</x:v>
      </x:c>
      <x:c r="D45" s="23" t="str">
        <x:v>AICO总结</x:v>
      </x:c>
      <x:c r="E45" s="23" t="str">
        <x:v>无tool_calls</x:v>
      </x:c>
      <x:c r="F45" s="21" t="n">
        <x:v>1</x:v>
      </x:c>
      <x:c r="G45" s="21" t="str">
        <x:v>2026-08-12T10:03:40.541</x:v>
      </x:c>
      <x:c r="H45" s="36" t="n">
        <x:v>7485.215</x:v>
      </x:c>
      <x:c r="I45" s="36" t="n">
        <x:f>H45/1000</x:f>
        <x:v>7.485215</x:v>
      </x:c>
      <x:c r="J45" s="21" t="str">
        <x:v>data2/dsv4_2_aico.jsonl</x:v>
      </x:c>
      <x:c r="K45" s="21" t="n">
        <x:v>27</x:v>
      </x:c>
      <x:c r="L45" s="21" t="str">
        <x:v>original精确文本</x:v>
      </x:c>
    </x:row>
    <x:row r="46">
      <x:c r="A46" s="38" t="n">
        <x:v>3</x:v>
      </x:c>
      <x:c r="B46" s="23" t="str">
        <x:v>查询CBN-福州仓山-火车南站西广场南侧高架桥旁C-HRHH-512小区的小区标识和基站标识。</x:v>
      </x:c>
      <x:c r="C46" s="23" t="str">
        <x:v>查询小区CBN-福州仓山-火车南站西广场南侧高架桥旁C-HRHH-512的小区标识和基站标识</x:v>
      </x:c>
      <x:c r="D46" s="23" t="str">
        <x:v>问题推荐</x:v>
      </x:c>
      <x:c r="E46" s="23" t="str">
        <x:v>后续问题推荐</x:v>
      </x:c>
      <x:c r="F46" s="21" t="n">
        <x:v>1</x:v>
      </x:c>
      <x:c r="G46" s="21" t="str">
        <x:v>2026-08-12T10:03:48.436</x:v>
      </x:c>
      <x:c r="H46" s="36" t="n">
        <x:v>8655.136</x:v>
      </x:c>
      <x:c r="I46" s="36" t="n">
        <x:f>H46/1000</x:f>
        <x:v>8.655136</x:v>
      </x:c>
      <x:c r="J46" s="21" t="str">
        <x:v>data2/dsv4_2_recipe_ds.jsonl</x:v>
      </x:c>
      <x:c r="K46" s="21" t="n">
        <x:v>10</x:v>
      </x:c>
      <x:c r="L46" s="21" t="str">
        <x:v>original精确文本</x:v>
      </x:c>
    </x:row>
    <x:row r="47">
      <x:c r="A47" s="38" t="n">
        <x:v>4</x:v>
      </x:c>
      <x:c r="B47" s="23" t="str">
        <x:v>确认一下深圳梅沙湾二D-HRH-3小区的方向角是多少。</x:v>
      </x:c>
      <x:c r="C47" s="23" t="str">
        <x:v>查询深圳梅沙湾二D-HRH-3小区的方向角</x:v>
      </x:c>
      <x:c r="D47" s="23" t="str">
        <x:v>AICO Tool Call - Skill</x:v>
      </x:c>
      <x:c r="E47" s="23" t="str">
        <x:v>Skill</x:v>
      </x:c>
      <x:c r="F47" s="21" t="n">
        <x:v>1</x:v>
      </x:c>
      <x:c r="G47" s="21" t="str">
        <x:v>2026-08-12T10:03:49.274</x:v>
      </x:c>
      <x:c r="H47" s="36" t="n">
        <x:v>8433.411</x:v>
      </x:c>
      <x:c r="I47" s="36" t="n">
        <x:f>H47/1000</x:f>
        <x:v>8.433411</x:v>
      </x:c>
      <x:c r="J47" s="21" t="str">
        <x:v>data2/dsv4_2_aico.jsonl</x:v>
      </x:c>
      <x:c r="K47" s="21" t="n">
        <x:v>28</x:v>
      </x:c>
      <x:c r="L47" s="21" t="str">
        <x:v>original精确文本</x:v>
      </x:c>
    </x:row>
    <x:row r="48">
      <x:c r="A48" s="38" t="n">
        <x:v>4</x:v>
      </x:c>
      <x:c r="B48" s="23" t="str">
        <x:v>确认一下深圳梅沙湾二D-HRH-3小区的方向角是多少。</x:v>
      </x:c>
      <x:c r="C48" s="23" t="str">
        <x:v>查询深圳梅沙湾二D-HRH-3小区的方向角</x:v>
      </x:c>
      <x:c r="D48" s="23" t="str">
        <x:v>AICO Tool Call - Workflow</x:v>
      </x:c>
      <x:c r="E48" s="23" t="str">
        <x:v>Workflow</x:v>
      </x:c>
      <x:c r="F48" s="21" t="n">
        <x:v>1</x:v>
      </x:c>
      <x:c r="G48" s="21" t="str">
        <x:v>2026-08-12T10:03:57.901</x:v>
      </x:c>
      <x:c r="H48" s="36" t="n">
        <x:v>5027.324</x:v>
      </x:c>
      <x:c r="I48" s="36" t="n">
        <x:f>H48/1000</x:f>
        <x:v>5.027323999999999</x:v>
      </x:c>
      <x:c r="J48" s="21" t="str">
        <x:v>data2/dsv4_2_aico.jsonl</x:v>
      </x:c>
      <x:c r="K48" s="21" t="n">
        <x:v>29</x:v>
      </x:c>
      <x:c r="L48" s="21" t="str">
        <x:v>original精确文本</x:v>
      </x:c>
    </x:row>
    <x:row r="49">
      <x:c r="A49" s="38" t="n">
        <x:v>4</x:v>
      </x:c>
      <x:c r="B49" s="23" t="str">
        <x:v>确认一下深圳梅沙湾二D-HRH-3小区的方向角是多少。</x:v>
      </x:c>
      <x:c r="C49" s="23" t="str">
        <x:v>查询深圳梅沙湾二D-HRH-3小区的方向角</x:v>
      </x:c>
      <x:c r="D49" s="23" t="str">
        <x:v>Recipe - DeepSeek</x:v>
      </x:c>
      <x:c r="E49" s="23" t="str">
        <x:v>DeepSeek recipe调用</x:v>
      </x:c>
      <x:c r="F49" s="21" t="n">
        <x:v>1</x:v>
      </x:c>
      <x:c r="G49" s="21" t="str">
        <x:v>2026-08-12T10:04:04.346</x:v>
      </x:c>
      <x:c r="H49" s="36" t="n">
        <x:v>2790.416</x:v>
      </x:c>
      <x:c r="I49" s="36" t="n">
        <x:f>H49/1000</x:f>
        <x:v>2.790416</x:v>
      </x:c>
      <x:c r="J49" s="21" t="str">
        <x:v>data2/dsv4_2_recipe_ds.jsonl</x:v>
      </x:c>
      <x:c r="K49" s="21" t="n">
        <x:v>11</x:v>
      </x:c>
      <x:c r="L49" s="21" t="str">
        <x:v>processed精确文本</x:v>
      </x:c>
    </x:row>
    <x:row r="50">
      <x:c r="A50" s="38" t="n">
        <x:v>4</x:v>
      </x:c>
      <x:c r="B50" s="23" t="str">
        <x:v>确认一下深圳梅沙湾二D-HRH-3小区的方向角是多少。</x:v>
      </x:c>
      <x:c r="C50" s="23" t="str">
        <x:v>查询深圳梅沙湾二D-HRH-3小区的方向角</x:v>
      </x:c>
      <x:c r="D50" s="23" t="str">
        <x:v>Recipe - Qwen执行</x:v>
      </x:c>
      <x:c r="E50" s="23" t="str">
        <x:v>同一问题第1次Qwen调用</x:v>
      </x:c>
      <x:c r="F50" s="21" t="n">
        <x:v>1</x:v>
      </x:c>
      <x:c r="G50" s="21" t="str">
        <x:v>2026-08-12T10:04:07.506</x:v>
      </x:c>
      <x:c r="H50" s="36" t="n">
        <x:v>1184.913</x:v>
      </x:c>
      <x:c r="I50" s="36" t="n">
        <x:f>H50/1000</x:f>
        <x:v>1.184913</x:v>
      </x:c>
      <x:c r="J50" s="21" t="str">
        <x:v>data2/qwen3_2.jsonl</x:v>
      </x:c>
      <x:c r="K50" s="21" t="n">
        <x:v>9</x:v>
      </x:c>
      <x:c r="L50" s="21" t="str">
        <x:v>processed精确文本</x:v>
      </x:c>
    </x:row>
    <x:row r="51">
      <x:c r="A51" s="38" t="n">
        <x:v>4</x:v>
      </x:c>
      <x:c r="B51" s="23" t="str">
        <x:v>确认一下深圳梅沙湾二D-HRH-3小区的方向角是多少。</x:v>
      </x:c>
      <x:c r="C51" s="23" t="str">
        <x:v>查询深圳梅沙湾二D-HRH-3小区的方向角</x:v>
      </x:c>
      <x:c r="D51" s="23" t="str">
        <x:v>Recipe - Qwen总结</x:v>
      </x:c>
      <x:c r="E51" s="23" t="str">
        <x:v>同一问题最后一次Qwen调用</x:v>
      </x:c>
      <x:c r="F51" s="21" t="n">
        <x:v>1</x:v>
      </x:c>
      <x:c r="G51" s="21" t="str">
        <x:v>2026-08-12T10:04:09.211</x:v>
      </x:c>
      <x:c r="H51" s="36" t="n">
        <x:v>1297.238</x:v>
      </x:c>
      <x:c r="I51" s="36" t="n">
        <x:f>H51/1000</x:f>
        <x:v>1.2972380000000001</x:v>
      </x:c>
      <x:c r="J51" s="21" t="str">
        <x:v>data2/qwen3_2.jsonl</x:v>
      </x:c>
      <x:c r="K51" s="21" t="n">
        <x:v>10</x:v>
      </x:c>
      <x:c r="L51" s="21" t="str">
        <x:v>processed精确文本</x:v>
      </x:c>
    </x:row>
    <x:row r="52">
      <x:c r="A52" s="38" t="n">
        <x:v>4</x:v>
      </x:c>
      <x:c r="B52" s="23" t="str">
        <x:v>确认一下深圳梅沙湾二D-HRH-3小区的方向角是多少。</x:v>
      </x:c>
      <x:c r="C52" s="23" t="str">
        <x:v>查询深圳梅沙湾二D-HRH-3小区的方向角</x:v>
      </x:c>
      <x:c r="D52" s="23" t="str">
        <x:v>AICO总结</x:v>
      </x:c>
      <x:c r="E52" s="23" t="str">
        <x:v>无tool_calls</x:v>
      </x:c>
      <x:c r="F52" s="21" t="n">
        <x:v>1</x:v>
      </x:c>
      <x:c r="G52" s="21" t="str">
        <x:v>2026-08-12T10:04:10.789</x:v>
      </x:c>
      <x:c r="H52" s="36" t="n">
        <x:v>6572.933</x:v>
      </x:c>
      <x:c r="I52" s="36" t="n">
        <x:f>H52/1000</x:f>
        <x:v>6.572933</x:v>
      </x:c>
      <x:c r="J52" s="21" t="str">
        <x:v>data2/dsv4_2_aico.jsonl</x:v>
      </x:c>
      <x:c r="K52" s="21" t="n">
        <x:v>30</x:v>
      </x:c>
      <x:c r="L52" s="21" t="str">
        <x:v>original精确文本</x:v>
      </x:c>
    </x:row>
    <x:row r="53">
      <x:c r="A53" s="38" t="n">
        <x:v>4</x:v>
      </x:c>
      <x:c r="B53" s="23" t="str">
        <x:v>确认一下深圳梅沙湾二D-HRH-3小区的方向角是多少。</x:v>
      </x:c>
      <x:c r="C53" s="23" t="str">
        <x:v>查询深圳梅沙湾二D-HRH-3小区的方向角</x:v>
      </x:c>
      <x:c r="D53" s="23" t="str">
        <x:v>问题推荐</x:v>
      </x:c>
      <x:c r="E53" s="23" t="str">
        <x:v>后续问题推荐</x:v>
      </x:c>
      <x:c r="F53" s="21" t="n">
        <x:v>1</x:v>
      </x:c>
      <x:c r="G53" s="21" t="str">
        <x:v>2026-08-12T10:04:17.644</x:v>
      </x:c>
      <x:c r="H53" s="36" t="n">
        <x:v>8152.206</x:v>
      </x:c>
      <x:c r="I53" s="36" t="n">
        <x:f>H53/1000</x:f>
        <x:v>8.152206</x:v>
      </x:c>
      <x:c r="J53" s="21" t="str">
        <x:v>data2/dsv4_2_recipe_ds.jsonl</x:v>
      </x:c>
      <x:c r="K53" s="21" t="n">
        <x:v>12</x:v>
      </x:c>
      <x:c r="L53" s="21" t="str">
        <x:v>original精确文本</x:v>
      </x:c>
    </x:row>
    <x:row r="54">
      <x:c r="A54" s="38" t="n">
        <x:v>5</x:v>
      </x:c>
      <x:c r="B54" s="23" t="str">
        <x:v>找出CBN-福州晋安-高铁鼓山1号隧道洞室1C-HRRH站点下小区的经度和纬度。</x:v>
      </x:c>
      <x:c r="C54" s="23" t="str">
        <x:v>查询站点 CBN-福州晋安-高铁鼓山1号隧道洞室1C-HRRH 下所有小区的经度和纬度（工程参数）</x:v>
      </x:c>
      <x:c r="D54" s="23" t="str">
        <x:v>AICO Tool Call - Skill</x:v>
      </x:c>
      <x:c r="E54" s="23" t="str">
        <x:v>Skill</x:v>
      </x:c>
      <x:c r="F54" s="21" t="n">
        <x:v>1</x:v>
      </x:c>
      <x:c r="G54" s="21" t="str">
        <x:v>2026-08-12T10:04:18.570</x:v>
      </x:c>
      <x:c r="H54" s="36" t="n">
        <x:v>8148.953</x:v>
      </x:c>
      <x:c r="I54" s="36" t="n">
        <x:f>H54/1000</x:f>
        <x:v>8.148953</x:v>
      </x:c>
      <x:c r="J54" s="21" t="str">
        <x:v>data2/dsv4_2_aico.jsonl</x:v>
      </x:c>
      <x:c r="K54" s="21" t="n">
        <x:v>31</x:v>
      </x:c>
      <x:c r="L54" s="21" t="str">
        <x:v>original精确文本</x:v>
      </x:c>
    </x:row>
    <x:row r="55">
      <x:c r="A55" s="38" t="n">
        <x:v>5</x:v>
      </x:c>
      <x:c r="B55" s="23" t="str">
        <x:v>找出CBN-福州晋安-高铁鼓山1号隧道洞室1C-HRRH站点下小区的经度和纬度。</x:v>
      </x:c>
      <x:c r="C55" s="23" t="str">
        <x:v>查询站点 CBN-福州晋安-高铁鼓山1号隧道洞室1C-HRRH 下所有小区的经度和纬度（工程参数）</x:v>
      </x:c>
      <x:c r="D55" s="23" t="str">
        <x:v>AICO Tool Call - Workflow</x:v>
      </x:c>
      <x:c r="E55" s="23" t="str">
        <x:v>Workflow</x:v>
      </x:c>
      <x:c r="F55" s="21" t="n">
        <x:v>1</x:v>
      </x:c>
      <x:c r="G55" s="21" t="str">
        <x:v>2026-08-12T10:04:26.881</x:v>
      </x:c>
      <x:c r="H55" s="36" t="n">
        <x:v>5138.994</x:v>
      </x:c>
      <x:c r="I55" s="36" t="n">
        <x:f>H55/1000</x:f>
        <x:v>5.138993999999999</x:v>
      </x:c>
      <x:c r="J55" s="21" t="str">
        <x:v>data2/dsv4_2_aico.jsonl</x:v>
      </x:c>
      <x:c r="K55" s="21" t="n">
        <x:v>32</x:v>
      </x:c>
      <x:c r="L55" s="21" t="str">
        <x:v>original精确文本</x:v>
      </x:c>
    </x:row>
    <x:row r="56">
      <x:c r="A56" s="38" t="n">
        <x:v>5</x:v>
      </x:c>
      <x:c r="B56" s="23" t="str">
        <x:v>找出CBN-福州晋安-高铁鼓山1号隧道洞室1C-HRRH站点下小区的经度和纬度。</x:v>
      </x:c>
      <x:c r="C56" s="23" t="str">
        <x:v>查询站点 CBN-福州晋安-高铁鼓山1号隧道洞室1C-HRRH 下所有小区的经度和纬度（工程参数）</x:v>
      </x:c>
      <x:c r="D56" s="23" t="str">
        <x:v>Recipe - DeepSeek</x:v>
      </x:c>
      <x:c r="E56" s="23" t="str">
        <x:v>DeepSeek recipe调用</x:v>
      </x:c>
      <x:c r="F56" s="21" t="n">
        <x:v>1</x:v>
      </x:c>
      <x:c r="G56" s="21" t="str">
        <x:v>2026-08-12T10:04:33.363</x:v>
      </x:c>
      <x:c r="H56" s="36" t="n">
        <x:v>3580.848</x:v>
      </x:c>
      <x:c r="I56" s="36" t="n">
        <x:f>H56/1000</x:f>
        <x:v>3.580848</x:v>
      </x:c>
      <x:c r="J56" s="21" t="str">
        <x:v>data2/dsv4_2_recipe_ds.jsonl</x:v>
      </x:c>
      <x:c r="K56" s="21" t="n">
        <x:v>13</x:v>
      </x:c>
      <x:c r="L56" s="21" t="str">
        <x:v>processed精确文本</x:v>
      </x:c>
    </x:row>
    <x:row r="57">
      <x:c r="A57" s="38" t="n">
        <x:v>5</x:v>
      </x:c>
      <x:c r="B57" s="23" t="str">
        <x:v>找出CBN-福州晋安-高铁鼓山1号隧道洞室1C-HRRH站点下小区的经度和纬度。</x:v>
      </x:c>
      <x:c r="C57" s="23" t="str">
        <x:v>查询站点 CBN-福州晋安-高铁鼓山1号隧道洞室1C-HRRH 下所有小区的经度和纬度（工程参数）</x:v>
      </x:c>
      <x:c r="D57" s="23" t="str">
        <x:v>Recipe - Qwen执行</x:v>
      </x:c>
      <x:c r="E57" s="23" t="str">
        <x:v>同一问题第1次Qwen调用</x:v>
      </x:c>
      <x:c r="F57" s="21" t="n">
        <x:v>1</x:v>
      </x:c>
      <x:c r="G57" s="21" t="str">
        <x:v>2026-08-12T10:04:37.294</x:v>
      </x:c>
      <x:c r="H57" s="36" t="n">
        <x:v>1273.478</x:v>
      </x:c>
      <x:c r="I57" s="36" t="n">
        <x:f>H57/1000</x:f>
        <x:v>1.273478</x:v>
      </x:c>
      <x:c r="J57" s="21" t="str">
        <x:v>data2/qwen3_2.jsonl</x:v>
      </x:c>
      <x:c r="K57" s="21" t="n">
        <x:v>11</x:v>
      </x:c>
      <x:c r="L57" s="21" t="str">
        <x:v>processed精确文本</x:v>
      </x:c>
    </x:row>
    <x:row r="58">
      <x:c r="A58" s="38" t="n">
        <x:v>5</x:v>
      </x:c>
      <x:c r="B58" s="23" t="str">
        <x:v>找出CBN-福州晋安-高铁鼓山1号隧道洞室1C-HRRH站点下小区的经度和纬度。</x:v>
      </x:c>
      <x:c r="C58" s="23" t="str">
        <x:v>查询站点 CBN-福州晋安-高铁鼓山1号隧道洞室1C-HRRH 下所有小区的经度和纬度（工程参数）</x:v>
      </x:c>
      <x:c r="D58" s="23" t="str">
        <x:v>Recipe - Qwen总结</x:v>
      </x:c>
      <x:c r="E58" s="23" t="str">
        <x:v>同一问题最后一次Qwen调用</x:v>
      </x:c>
      <x:c r="F58" s="21" t="n">
        <x:v>1</x:v>
      </x:c>
      <x:c r="G58" s="21" t="str">
        <x:v>2026-08-12T10:04:39.064</x:v>
      </x:c>
      <x:c r="H58" s="36" t="n">
        <x:v>1720.292</x:v>
      </x:c>
      <x:c r="I58" s="36" t="n">
        <x:f>H58/1000</x:f>
        <x:v>1.720292</x:v>
      </x:c>
      <x:c r="J58" s="21" t="str">
        <x:v>data2/qwen3_2.jsonl</x:v>
      </x:c>
      <x:c r="K58" s="21" t="n">
        <x:v>12</x:v>
      </x:c>
      <x:c r="L58" s="21" t="str">
        <x:v>processed精确文本</x:v>
      </x:c>
    </x:row>
    <x:row r="59">
      <x:c r="A59" s="38" t="n">
        <x:v>5</x:v>
      </x:c>
      <x:c r="B59" s="23" t="str">
        <x:v>找出CBN-福州晋安-高铁鼓山1号隧道洞室1C-HRRH站点下小区的经度和纬度。</x:v>
      </x:c>
      <x:c r="C59" s="23" t="str">
        <x:v>查询站点 CBN-福州晋安-高铁鼓山1号隧道洞室1C-HRRH 下所有小区的经度和纬度（工程参数）</x:v>
      </x:c>
      <x:c r="D59" s="23" t="str">
        <x:v>AICO总结</x:v>
      </x:c>
      <x:c r="E59" s="23" t="str">
        <x:v>无tool_calls</x:v>
      </x:c>
      <x:c r="F59" s="21" t="n">
        <x:v>1</x:v>
      </x:c>
      <x:c r="G59" s="21" t="str">
        <x:v>2026-08-12T10:04:41.045</x:v>
      </x:c>
      <x:c r="H59" s="36" t="n">
        <x:v>5094.166</x:v>
      </x:c>
      <x:c r="I59" s="36" t="n">
        <x:f>H59/1000</x:f>
        <x:v>5.094166</x:v>
      </x:c>
      <x:c r="J59" s="21" t="str">
        <x:v>data2/dsv4_2_aico.jsonl</x:v>
      </x:c>
      <x:c r="K59" s="21" t="n">
        <x:v>33</x:v>
      </x:c>
      <x:c r="L59" s="21" t="str">
        <x:v>original精确文本</x:v>
      </x:c>
    </x:row>
    <x:row r="60">
      <x:c r="A60" s="38" t="n">
        <x:v>5</x:v>
      </x:c>
      <x:c r="B60" s="23" t="str">
        <x:v>找出CBN-福州晋安-高铁鼓山1号隧道洞室1C-HRRH站点下小区的经度和纬度。</x:v>
      </x:c>
      <x:c r="C60" s="23" t="str">
        <x:v>查询站点 CBN-福州晋安-高铁鼓山1号隧道洞室1C-HRRH 下所有小区的经度和纬度（工程参数）</x:v>
      </x:c>
      <x:c r="D60" s="23" t="str">
        <x:v>问题推荐</x:v>
      </x:c>
      <x:c r="E60" s="23" t="str">
        <x:v>后续问题推荐</x:v>
      </x:c>
      <x:c r="F60" s="21" t="n">
        <x:v>1</x:v>
      </x:c>
      <x:c r="G60" s="21" t="str">
        <x:v>2026-08-12T10:04:46.418</x:v>
      </x:c>
      <x:c r="H60" s="36" t="n">
        <x:v>7732.793</x:v>
      </x:c>
      <x:c r="I60" s="36" t="n">
        <x:f>H60/1000</x:f>
        <x:v>7.732793</x:v>
      </x:c>
      <x:c r="J60" s="21" t="str">
        <x:v>data2/dsv4_2_recipe_ds.jsonl</x:v>
      </x:c>
      <x:c r="K60" s="21" t="n">
        <x:v>14</x:v>
      </x:c>
      <x:c r="L60" s="21" t="str">
        <x:v>original精确文本</x:v>
      </x:c>
    </x:row>
    <x:row r="61">
      <x:c r="A61" s="38" t="n">
        <x:v>6</x:v>
      </x:c>
      <x:c r="B61" s="23" t="str">
        <x:v>帮我查一下CBN-福州晋安-福厦高铁苔井山隧道入口（左侧）C-HRRH-513和CBN-福州仓山-福厦高铁鸡笼山隧道C-HRRH-513这两个小区的方位角、电子下倾角和机械下倾角。</x:v>
      </x:c>
      <x:c r="C61" s="23" t="str">
        <x:v>查询小区 CBN-福州晋安-福厦高铁苔井山隧道入口（左侧）C-HRRH-513 和 CBN-福州仓山-福厦高铁鸡笼山隧道C-HRRH-513 的方位角、电子下倾角和机械下倾角</x:v>
      </x:c>
      <x:c r="D61" s="23" t="str">
        <x:v>AICO Tool Call - Skill</x:v>
      </x:c>
      <x:c r="E61" s="23" t="str">
        <x:v>Skill</x:v>
      </x:c>
      <x:c r="F61" s="21" t="n">
        <x:v>1</x:v>
      </x:c>
      <x:c r="G61" s="21" t="str">
        <x:v>2026-08-12T10:04:47.360</x:v>
      </x:c>
      <x:c r="H61" s="36" t="n">
        <x:v>8772.914</x:v>
      </x:c>
      <x:c r="I61" s="36" t="n">
        <x:f>H61/1000</x:f>
        <x:v>8.772914</x:v>
      </x:c>
      <x:c r="J61" s="21" t="str">
        <x:v>data2/dsv4_2_aico.jsonl</x:v>
      </x:c>
      <x:c r="K61" s="21" t="n">
        <x:v>34</x:v>
      </x:c>
      <x:c r="L61" s="21" t="str">
        <x:v>original精确文本</x:v>
      </x:c>
    </x:row>
    <x:row r="62">
      <x:c r="A62" s="38" t="n">
        <x:v>6</x:v>
      </x:c>
      <x:c r="B62" s="23" t="str">
        <x:v>帮我查一下CBN-福州晋安-福厦高铁苔井山隧道入口（左侧）C-HRRH-513和CBN-福州仓山-福厦高铁鸡笼山隧道C-HRRH-513这两个小区的方位角、电子下倾角和机械下倾角。</x:v>
      </x:c>
      <x:c r="C62" s="23" t="str">
        <x:v>查询小区 CBN-福州晋安-福厦高铁苔井山隧道入口（左侧）C-HRRH-513 和 CBN-福州仓山-福厦高铁鸡笼山隧道C-HRRH-513 的方位角、电子下倾角和机械下倾角</x:v>
      </x:c>
      <x:c r="D62" s="23" t="str">
        <x:v>AICO Tool Call - Workflow</x:v>
      </x:c>
      <x:c r="E62" s="23" t="str">
        <x:v>Workflow</x:v>
      </x:c>
      <x:c r="F62" s="21" t="n">
        <x:v>1</x:v>
      </x:c>
      <x:c r="G62" s="21" t="str">
        <x:v>2026-08-12T10:04:56.287</x:v>
      </x:c>
      <x:c r="H62" s="36" t="n">
        <x:v>6383.248</x:v>
      </x:c>
      <x:c r="I62" s="36" t="n">
        <x:f>H62/1000</x:f>
        <x:v>6.383248</x:v>
      </x:c>
      <x:c r="J62" s="21" t="str">
        <x:v>data2/dsv4_2_aico.jsonl</x:v>
      </x:c>
      <x:c r="K62" s="21" t="n">
        <x:v>35</x:v>
      </x:c>
      <x:c r="L62" s="21" t="str">
        <x:v>original精确文本</x:v>
      </x:c>
    </x:row>
    <x:row r="63">
      <x:c r="A63" s="38" t="n">
        <x:v>6</x:v>
      </x:c>
      <x:c r="B63" s="23" t="str">
        <x:v>帮我查一下CBN-福州晋安-福厦高铁苔井山隧道入口（左侧）C-HRRH-513和CBN-福州仓山-福厦高铁鸡笼山隧道C-HRRH-513这两个小区的方位角、电子下倾角和机械下倾角。</x:v>
      </x:c>
      <x:c r="C63" s="23" t="str">
        <x:v>查询小区 CBN-福州晋安-福厦高铁苔井山隧道入口（左侧）C-HRRH-513 和 CBN-福州仓山-福厦高铁鸡笼山隧道C-HRRH-513 的方位角、电子下倾角和机械下倾角</x:v>
      </x:c>
      <x:c r="D63" s="23" t="str">
        <x:v>Recipe - DeepSeek</x:v>
      </x:c>
      <x:c r="E63" s="23" t="str">
        <x:v>DeepSeek recipe调用</x:v>
      </x:c>
      <x:c r="F63" s="21" t="n">
        <x:v>1</x:v>
      </x:c>
      <x:c r="G63" s="21" t="str">
        <x:v>2026-08-12T10:05:04.049</x:v>
      </x:c>
      <x:c r="H63" s="36" t="n">
        <x:v>4650.536</x:v>
      </x:c>
      <x:c r="I63" s="36" t="n">
        <x:f>H63/1000</x:f>
        <x:v>4.650536</x:v>
      </x:c>
      <x:c r="J63" s="21" t="str">
        <x:v>data2/dsv4_2_recipe_ds.jsonl</x:v>
      </x:c>
      <x:c r="K63" s="21" t="n">
        <x:v>15</x:v>
      </x:c>
      <x:c r="L63" s="21" t="str">
        <x:v>processed精确文本</x:v>
      </x:c>
    </x:row>
    <x:row r="64">
      <x:c r="A64" s="38" t="n">
        <x:v>6</x:v>
      </x:c>
      <x:c r="B64" s="23" t="str">
        <x:v>帮我查一下CBN-福州晋安-福厦高铁苔井山隧道入口（左侧）C-HRRH-513和CBN-福州仓山-福厦高铁鸡笼山隧道C-HRRH-513这两个小区的方位角、电子下倾角和机械下倾角。</x:v>
      </x:c>
      <x:c r="C64" s="23" t="str">
        <x:v>查询小区 CBN-福州晋安-福厦高铁苔井山隧道入口（左侧）C-HRRH-513 和 CBN-福州仓山-福厦高铁鸡笼山隧道C-HRRH-513 的方位角、电子下倾角和机械下倾角</x:v>
      </x:c>
      <x:c r="D64" s="23" t="str">
        <x:v>Recipe - Qwen执行</x:v>
      </x:c>
      <x:c r="E64" s="23" t="str">
        <x:v>同一问题第1次Qwen调用</x:v>
      </x:c>
      <x:c r="F64" s="21" t="n">
        <x:v>1</x:v>
      </x:c>
      <x:c r="G64" s="21" t="str">
        <x:v>2026-08-12T10:05:09.072</x:v>
      </x:c>
      <x:c r="H64" s="36" t="n">
        <x:v>1830.513</x:v>
      </x:c>
      <x:c r="I64" s="36" t="n">
        <x:f>H64/1000</x:f>
        <x:v>1.8305129999999998</x:v>
      </x:c>
      <x:c r="J64" s="21" t="str">
        <x:v>data2/qwen3_2.jsonl</x:v>
      </x:c>
      <x:c r="K64" s="21" t="n">
        <x:v>13</x:v>
      </x:c>
      <x:c r="L64" s="21" t="str">
        <x:v>processed精确文本</x:v>
      </x:c>
    </x:row>
    <x:row r="65">
      <x:c r="A65" s="38" t="n">
        <x:v>6</x:v>
      </x:c>
      <x:c r="B65" s="23" t="str">
        <x:v>帮我查一下CBN-福州晋安-福厦高铁苔井山隧道入口（左侧）C-HRRH-513和CBN-福州仓山-福厦高铁鸡笼山隧道C-HRRH-513这两个小区的方位角、电子下倾角和机械下倾角。</x:v>
      </x:c>
      <x:c r="C65" s="23" t="str">
        <x:v>查询小区 CBN-福州晋安-福厦高铁苔井山隧道入口（左侧）C-HRRH-513 和 CBN-福州仓山-福厦高铁鸡笼山隧道C-HRRH-513 的方位角、电子下倾角和机械下倾角</x:v>
      </x:c>
      <x:c r="D65" s="23" t="str">
        <x:v>Recipe - Qwen总结</x:v>
      </x:c>
      <x:c r="E65" s="23" t="str">
        <x:v>同一问题最后一次Qwen调用</x:v>
      </x:c>
      <x:c r="F65" s="21" t="n">
        <x:v>1</x:v>
      </x:c>
      <x:c r="G65" s="21" t="str">
        <x:v>2026-08-12T10:05:11.415</x:v>
      </x:c>
      <x:c r="H65" s="36" t="n">
        <x:v>2113.816</x:v>
      </x:c>
      <x:c r="I65" s="36" t="n">
        <x:f>H65/1000</x:f>
        <x:v>2.113816</x:v>
      </x:c>
      <x:c r="J65" s="21" t="str">
        <x:v>data2/qwen3_2.jsonl</x:v>
      </x:c>
      <x:c r="K65" s="21" t="n">
        <x:v>14</x:v>
      </x:c>
      <x:c r="L65" s="21" t="str">
        <x:v>processed精确文本</x:v>
      </x:c>
    </x:row>
    <x:row r="66">
      <x:c r="A66" s="38" t="n">
        <x:v>6</x:v>
      </x:c>
      <x:c r="B66" s="23" t="str">
        <x:v>帮我查一下CBN-福州晋安-福厦高铁苔井山隧道入口（左侧）C-HRRH-513和CBN-福州仓山-福厦高铁鸡笼山隧道C-HRRH-513这两个小区的方位角、电子下倾角和机械下倾角。</x:v>
      </x:c>
      <x:c r="C66" s="23" t="str">
        <x:v>查询小区 CBN-福州晋安-福厦高铁苔井山隧道入口（左侧）C-HRRH-513 和 CBN-福州仓山-福厦高铁鸡笼山隧道C-HRRH-513 的方位角、电子下倾角和机械下倾角</x:v>
      </x:c>
      <x:c r="D66" s="23" t="str">
        <x:v>AICO总结</x:v>
      </x:c>
      <x:c r="E66" s="23" t="str">
        <x:v>无tool_calls</x:v>
      </x:c>
      <x:c r="F66" s="21" t="n">
        <x:v>1</x:v>
      </x:c>
      <x:c r="G66" s="21" t="str">
        <x:v>2026-08-12T10:05:13.785</x:v>
      </x:c>
      <x:c r="H66" s="36" t="n">
        <x:v>7054.339</x:v>
      </x:c>
      <x:c r="I66" s="36" t="n">
        <x:f>H66/1000</x:f>
        <x:v>7.054339</x:v>
      </x:c>
      <x:c r="J66" s="21" t="str">
        <x:v>data2/dsv4_2_aico.jsonl</x:v>
      </x:c>
      <x:c r="K66" s="21" t="n">
        <x:v>36</x:v>
      </x:c>
      <x:c r="L66" s="21" t="str">
        <x:v>original精确文本</x:v>
      </x:c>
    </x:row>
    <x:row r="67">
      <x:c r="A67" s="38" t="n">
        <x:v>6</x:v>
      </x:c>
      <x:c r="B67" s="23" t="str">
        <x:v>帮我查一下CBN-福州晋安-福厦高铁苔井山隧道入口（左侧）C-HRRH-513和CBN-福州仓山-福厦高铁鸡笼山隧道C-HRRH-513这两个小区的方位角、电子下倾角和机械下倾角。</x:v>
      </x:c>
      <x:c r="C67" s="23" t="str">
        <x:v>查询小区 CBN-福州晋安-福厦高铁苔井山隧道入口（左侧）C-HRRH-513 和 CBN-福州仓山-福厦高铁鸡笼山隧道C-HRRH-513 的方位角、电子下倾角和机械下倾角</x:v>
      </x:c>
      <x:c r="D67" s="23" t="str">
        <x:v>问题推荐</x:v>
      </x:c>
      <x:c r="E67" s="23" t="str">
        <x:v>后续问题推荐</x:v>
      </x:c>
      <x:c r="F67" s="21" t="n">
        <x:v>1</x:v>
      </x:c>
      <x:c r="G67" s="21" t="str">
        <x:v>2026-08-12T10:05:21.122</x:v>
      </x:c>
      <x:c r="H67" s="36" t="n">
        <x:v>5081.464</x:v>
      </x:c>
      <x:c r="I67" s="36" t="n">
        <x:f>H67/1000</x:f>
        <x:v>5.0814639999999995</x:v>
      </x:c>
      <x:c r="J67" s="21" t="str">
        <x:v>data2/dsv4_2_recipe_ds.jsonl</x:v>
      </x:c>
      <x:c r="K67" s="21" t="n">
        <x:v>16</x:v>
      </x:c>
      <x:c r="L67" s="21" t="str">
        <x:v>original精确文本</x:v>
      </x:c>
    </x:row>
    <x:row r="68">
      <x:c r="A68" s="38" t="n">
        <x:v>7</x:v>
      </x:c>
      <x:c r="B68" s="23" t="str">
        <x:v>看一下深圳东华风车D-HRH和CBN-深圳上威梅沙二U-H5H这两个站点下小区的基站标识、纬度和设备厂商。</x:v>
      </x:c>
      <x:c r="C68" s="23" t="str">
        <x:v>查询深圳东华风车D-HRH和CBN-深圳上威梅沙二U-H5H这两个站点下所有小区的基站标识、纬度和设备厂商</x:v>
      </x:c>
      <x:c r="D68" s="23" t="str">
        <x:v>AICO Tool Call - Skill</x:v>
      </x:c>
      <x:c r="E68" s="23" t="str">
        <x:v>Skill</x:v>
      </x:c>
      <x:c r="F68" s="21" t="n">
        <x:v>1</x:v>
      </x:c>
      <x:c r="G68" s="21" t="str">
        <x:v>2026-08-12T10:05:22.038</x:v>
      </x:c>
      <x:c r="H68" s="36" t="n">
        <x:v>5920.975</x:v>
      </x:c>
      <x:c r="I68" s="36" t="n">
        <x:f>H68/1000</x:f>
        <x:v>5.920975</x:v>
      </x:c>
      <x:c r="J68" s="21" t="str">
        <x:v>data2/dsv4_2_aico.jsonl</x:v>
      </x:c>
      <x:c r="K68" s="21" t="n">
        <x:v>37</x:v>
      </x:c>
      <x:c r="L68" s="21" t="str">
        <x:v>original精确文本</x:v>
      </x:c>
    </x:row>
    <x:row r="69">
      <x:c r="A69" s="38" t="n">
        <x:v>7</x:v>
      </x:c>
      <x:c r="B69" s="23" t="str">
        <x:v>看一下深圳东华风车D-HRH和CBN-深圳上威梅沙二U-H5H这两个站点下小区的基站标识、纬度和设备厂商。</x:v>
      </x:c>
      <x:c r="C69" s="23" t="str">
        <x:v>查询深圳东华风车D-HRH和CBN-深圳上威梅沙二U-H5H这两个站点下所有小区的基站标识、纬度和设备厂商</x:v>
      </x:c>
      <x:c r="D69" s="23" t="str">
        <x:v>AICO Tool Call - Workflow</x:v>
      </x:c>
      <x:c r="E69" s="23" t="str">
        <x:v>Workflow</x:v>
      </x:c>
      <x:c r="F69" s="21" t="n">
        <x:v>1</x:v>
      </x:c>
      <x:c r="G69" s="21" t="str">
        <x:v>2026-08-12T10:05:28.156</x:v>
      </x:c>
      <x:c r="H69" s="36" t="n">
        <x:v>5678.752</x:v>
      </x:c>
      <x:c r="I69" s="36" t="n">
        <x:f>H69/1000</x:f>
        <x:v>5.678752</x:v>
      </x:c>
      <x:c r="J69" s="21" t="str">
        <x:v>data2/dsv4_2_aico.jsonl</x:v>
      </x:c>
      <x:c r="K69" s="21" t="n">
        <x:v>38</x:v>
      </x:c>
      <x:c r="L69" s="21" t="str">
        <x:v>original精确文本</x:v>
      </x:c>
    </x:row>
    <x:row r="70">
      <x:c r="A70" s="38" t="n">
        <x:v>7</x:v>
      </x:c>
      <x:c r="B70" s="23" t="str">
        <x:v>看一下深圳东华风车D-HRH和CBN-深圳上威梅沙二U-H5H这两个站点下小区的基站标识、纬度和设备厂商。</x:v>
      </x:c>
      <x:c r="C70" s="23" t="str">
        <x:v>查询深圳东华风车D-HRH和CBN-深圳上威梅沙二U-H5H这两个站点下所有小区的基站标识、纬度和设备厂商</x:v>
      </x:c>
      <x:c r="D70" s="23" t="str">
        <x:v>Recipe - DeepSeek</x:v>
      </x:c>
      <x:c r="E70" s="23" t="str">
        <x:v>DeepSeek recipe调用</x:v>
      </x:c>
      <x:c r="F70" s="21" t="n">
        <x:v>1</x:v>
      </x:c>
      <x:c r="G70" s="21" t="str">
        <x:v>2026-08-12T10:05:35.219</x:v>
      </x:c>
      <x:c r="H70" s="36" t="n">
        <x:v>3815.34</x:v>
      </x:c>
      <x:c r="I70" s="36" t="n">
        <x:f>H70/1000</x:f>
        <x:v>3.81534</x:v>
      </x:c>
      <x:c r="J70" s="21" t="str">
        <x:v>data2/dsv4_2_recipe_ds.jsonl</x:v>
      </x:c>
      <x:c r="K70" s="21" t="n">
        <x:v>17</x:v>
      </x:c>
      <x:c r="L70" s="21" t="str">
        <x:v>processed精确文本</x:v>
      </x:c>
    </x:row>
    <x:row r="71">
      <x:c r="A71" s="38" t="n">
        <x:v>7</x:v>
      </x:c>
      <x:c r="B71" s="23" t="str">
        <x:v>看一下深圳东华风车D-HRH和CBN-深圳上威梅沙二U-H5H这两个站点下小区的基站标识、纬度和设备厂商。</x:v>
      </x:c>
      <x:c r="C71" s="23" t="str">
        <x:v>查询深圳东华风车D-HRH和CBN-深圳上威梅沙二U-H5H这两个站点下所有小区的基站标识、纬度和设备厂商</x:v>
      </x:c>
      <x:c r="D71" s="23" t="str">
        <x:v>Recipe - Qwen执行</x:v>
      </x:c>
      <x:c r="E71" s="23" t="str">
        <x:v>同一问题第1次Qwen调用</x:v>
      </x:c>
      <x:c r="F71" s="21" t="n">
        <x:v>1</x:v>
      </x:c>
      <x:c r="G71" s="21" t="str">
        <x:v>2026-08-12T10:05:39.364</x:v>
      </x:c>
      <x:c r="H71" s="36" t="n">
        <x:v>1325.668</x:v>
      </x:c>
      <x:c r="I71" s="36" t="n">
        <x:f>H71/1000</x:f>
        <x:v>1.3256679999999998</x:v>
      </x:c>
      <x:c r="J71" s="21" t="str">
        <x:v>data2/qwen3_2.jsonl</x:v>
      </x:c>
      <x:c r="K71" s="21" t="n">
        <x:v>15</x:v>
      </x:c>
      <x:c r="L71" s="21" t="str">
        <x:v>processed精确文本</x:v>
      </x:c>
    </x:row>
    <x:row r="72">
      <x:c r="A72" s="38" t="n">
        <x:v>7</x:v>
      </x:c>
      <x:c r="B72" s="23" t="str">
        <x:v>看一下深圳东华风车D-HRH和CBN-深圳上威梅沙二U-H5H这两个站点下小区的基站标识、纬度和设备厂商。</x:v>
      </x:c>
      <x:c r="C72" s="23" t="str">
        <x:v>查询深圳东华风车D-HRH和CBN-深圳上威梅沙二U-H5H这两个站点下所有小区的基站标识、纬度和设备厂商</x:v>
      </x:c>
      <x:c r="D72" s="23" t="str">
        <x:v>Recipe - Qwen执行</x:v>
      </x:c>
      <x:c r="E72" s="23" t="str">
        <x:v>同一问题第2次Qwen调用</x:v>
      </x:c>
      <x:c r="F72" s="21" t="n">
        <x:v>2</x:v>
      </x:c>
      <x:c r="G72" s="21" t="str">
        <x:v>2026-08-12T10:05:41.132</x:v>
      </x:c>
      <x:c r="H72" s="36" t="n">
        <x:v>1625.329</x:v>
      </x:c>
      <x:c r="I72" s="36" t="n">
        <x:f>H72/1000</x:f>
        <x:v>1.625329</x:v>
      </x:c>
      <x:c r="J72" s="21" t="str">
        <x:v>data2/qwen3_2.jsonl</x:v>
      </x:c>
      <x:c r="K72" s="21" t="n">
        <x:v>16</x:v>
      </x:c>
      <x:c r="L72" s="21" t="str">
        <x:v>processed精确文本</x:v>
      </x:c>
    </x:row>
    <x:row r="73">
      <x:c r="A73" s="38" t="n">
        <x:v>7</x:v>
      </x:c>
      <x:c r="B73" s="23" t="str">
        <x:v>看一下深圳东华风车D-HRH和CBN-深圳上威梅沙二U-H5H这两个站点下小区的基站标识、纬度和设备厂商。</x:v>
      </x:c>
      <x:c r="C73" s="23" t="str">
        <x:v>查询深圳东华风车D-HRH和CBN-深圳上威梅沙二U-H5H这两个站点下所有小区的基站标识、纬度和设备厂商</x:v>
      </x:c>
      <x:c r="D73" s="23" t="str">
        <x:v>Recipe - Qwen执行</x:v>
      </x:c>
      <x:c r="E73" s="23" t="str">
        <x:v>同一问题第3次Qwen调用</x:v>
      </x:c>
      <x:c r="F73" s="21" t="n">
        <x:v>3</x:v>
      </x:c>
      <x:c r="G73" s="21" t="str">
        <x:v>2026-08-12T10:05:43.219</x:v>
      </x:c>
      <x:c r="H73" s="36" t="n">
        <x:v>1622.008</x:v>
      </x:c>
      <x:c r="I73" s="36" t="n">
        <x:f>H73/1000</x:f>
        <x:v>1.6220080000000001</x:v>
      </x:c>
      <x:c r="J73" s="21" t="str">
        <x:v>data2/qwen3_2.jsonl</x:v>
      </x:c>
      <x:c r="K73" s="21" t="n">
        <x:v>17</x:v>
      </x:c>
      <x:c r="L73" s="21" t="str">
        <x:v>processed精确文本</x:v>
      </x:c>
    </x:row>
    <x:row r="74">
      <x:c r="A74" s="38" t="n">
        <x:v>7</x:v>
      </x:c>
      <x:c r="B74" s="23" t="str">
        <x:v>看一下深圳东华风车D-HRH和CBN-深圳上威梅沙二U-H5H这两个站点下小区的基站标识、纬度和设备厂商。</x:v>
      </x:c>
      <x:c r="C74" s="23" t="str">
        <x:v>查询深圳东华风车D-HRH和CBN-深圳上威梅沙二U-H5H这两个站点下所有小区的基站标识、纬度和设备厂商</x:v>
      </x:c>
      <x:c r="D74" s="23" t="str">
        <x:v>Recipe - Qwen执行</x:v>
      </x:c>
      <x:c r="E74" s="23" t="str">
        <x:v>同一问题第4次Qwen调用</x:v>
      </x:c>
      <x:c r="F74" s="21" t="n">
        <x:v>4</x:v>
      </x:c>
      <x:c r="G74" s="21" t="str">
        <x:v>2026-08-12T10:05:45.324</x:v>
      </x:c>
      <x:c r="H74" s="36" t="n">
        <x:v>1888.082</x:v>
      </x:c>
      <x:c r="I74" s="36" t="n">
        <x:f>H74/1000</x:f>
        <x:v>1.888082</x:v>
      </x:c>
      <x:c r="J74" s="21" t="str">
        <x:v>data2/qwen3_2.jsonl</x:v>
      </x:c>
      <x:c r="K74" s="21" t="n">
        <x:v>18</x:v>
      </x:c>
      <x:c r="L74" s="21" t="str">
        <x:v>processed精确文本</x:v>
      </x:c>
    </x:row>
    <x:row r="75">
      <x:c r="A75" s="38" t="n">
        <x:v>7</x:v>
      </x:c>
      <x:c r="B75" s="23" t="str">
        <x:v>看一下深圳东华风车D-HRH和CBN-深圳上威梅沙二U-H5H这两个站点下小区的基站标识、纬度和设备厂商。</x:v>
      </x:c>
      <x:c r="C75" s="23" t="str">
        <x:v>查询深圳东华风车D-HRH和CBN-深圳上威梅沙二U-H5H这两个站点下所有小区的基站标识、纬度和设备厂商</x:v>
      </x:c>
      <x:c r="D75" s="23" t="str">
        <x:v>AICO Tool Call - Workflow</x:v>
      </x:c>
      <x:c r="E75" s="23" t="str">
        <x:v>Workflow</x:v>
      </x:c>
      <x:c r="F75" s="21" t="n">
        <x:v>2</x:v>
      </x:c>
      <x:c r="G75" s="21" t="str">
        <x:v>2026-08-12T10:05:47.467</x:v>
      </x:c>
      <x:c r="H75" s="36" t="n">
        <x:v>6042.472</x:v>
      </x:c>
      <x:c r="I75" s="36" t="n">
        <x:f>H75/1000</x:f>
        <x:v>6.042472</x:v>
      </x:c>
      <x:c r="J75" s="21" t="str">
        <x:v>data2/dsv4_2_aico.jsonl</x:v>
      </x:c>
      <x:c r="K75" s="21" t="n">
        <x:v>39</x:v>
      </x:c>
      <x:c r="L75" s="21" t="str">
        <x:v>original精确文本</x:v>
      </x:c>
    </x:row>
    <x:row r="76">
      <x:c r="A76" s="38" t="n">
        <x:v>7</x:v>
      </x:c>
      <x:c r="B76" s="23" t="str">
        <x:v>看一下深圳东华风车D-HRH和CBN-深圳上威梅沙二U-H5H这两个站点下小区的基站标识、纬度和设备厂商。</x:v>
      </x:c>
      <x:c r="C76" s="23" t="str">
        <x:v>查询深圳东华风车D-HRH和CBN-深圳上威梅沙二U-H5H这两个站点下所有小区的基站标识、纬度和设备厂商</x:v>
      </x:c>
      <x:c r="D76" s="23" t="str">
        <x:v>Recipe - DeepSeek</x:v>
      </x:c>
      <x:c r="E76" s="23" t="str">
        <x:v>DeepSeek recipe调用</x:v>
      </x:c>
      <x:c r="F76" s="21" t="n">
        <x:v>2</x:v>
      </x:c>
      <x:c r="G76" s="21" t="str">
        <x:v>2026-08-12T10:05:54.748</x:v>
      </x:c>
      <x:c r="H76" s="36" t="n">
        <x:v>3524.573</x:v>
      </x:c>
      <x:c r="I76" s="36" t="n">
        <x:f>H76/1000</x:f>
        <x:v>3.5245729999999997</x:v>
      </x:c>
      <x:c r="J76" s="21" t="str">
        <x:v>data2/dsv4_2_recipe_ds.jsonl</x:v>
      </x:c>
      <x:c r="K76" s="21" t="n">
        <x:v>18</x:v>
      </x:c>
      <x:c r="L76" s="21" t="str">
        <x:v>时间顺序回退</x:v>
      </x:c>
    </x:row>
    <x:row r="77">
      <x:c r="A77" s="38" t="n">
        <x:v>7</x:v>
      </x:c>
      <x:c r="B77" s="23" t="str">
        <x:v>看一下深圳东华风车D-HRH和CBN-深圳上威梅沙二U-H5H这两个站点下小区的基站标识、纬度和设备厂商。</x:v>
      </x:c>
      <x:c r="C77" s="23" t="str">
        <x:v>查询深圳东华风车D-HRH和CBN-深圳上威梅沙二U-H5H这两个站点下所有小区的基站标识、纬度和设备厂商</x:v>
      </x:c>
      <x:c r="D77" s="23" t="str">
        <x:v>Recipe - Qwen执行</x:v>
      </x:c>
      <x:c r="E77" s="23" t="str">
        <x:v>同一问题第5次Qwen调用</x:v>
      </x:c>
      <x:c r="F77" s="21" t="n">
        <x:v>5</x:v>
      </x:c>
      <x:c r="G77" s="21" t="str">
        <x:v>2026-08-12T10:05:58.606</x:v>
      </x:c>
      <x:c r="H77" s="36" t="n">
        <x:v>1308.78</x:v>
      </x:c>
      <x:c r="I77" s="36" t="n">
        <x:f>H77/1000</x:f>
        <x:v>1.30878</x:v>
      </x:c>
      <x:c r="J77" s="21" t="str">
        <x:v>data2/qwen3_2.jsonl</x:v>
      </x:c>
      <x:c r="K77" s="21" t="n">
        <x:v>19</x:v>
      </x:c>
      <x:c r="L77" s="21" t="str">
        <x:v>时间顺序回退</x:v>
      </x:c>
    </x:row>
    <x:row r="78">
      <x:c r="A78" s="38" t="n">
        <x:v>7</x:v>
      </x:c>
      <x:c r="B78" s="23" t="str">
        <x:v>看一下深圳东华风车D-HRH和CBN-深圳上威梅沙二U-H5H这两个站点下小区的基站标识、纬度和设备厂商。</x:v>
      </x:c>
      <x:c r="C78" s="23" t="str">
        <x:v>查询深圳东华风车D-HRH和CBN-深圳上威梅沙二U-H5H这两个站点下所有小区的基站标识、纬度和设备厂商</x:v>
      </x:c>
      <x:c r="D78" s="23" t="str">
        <x:v>Recipe - Qwen执行</x:v>
      </x:c>
      <x:c r="E78" s="23" t="str">
        <x:v>同一问题第6次Qwen调用</x:v>
      </x:c>
      <x:c r="F78" s="21" t="n">
        <x:v>6</x:v>
      </x:c>
      <x:c r="G78" s="21" t="str">
        <x:v>2026-08-12T10:06:00.425</x:v>
      </x:c>
      <x:c r="H78" s="36" t="n">
        <x:v>2049.928</x:v>
      </x:c>
      <x:c r="I78" s="36" t="n">
        <x:f>H78/1000</x:f>
        <x:v>2.049928</x:v>
      </x:c>
      <x:c r="J78" s="21" t="str">
        <x:v>data2/qwen3_2.jsonl</x:v>
      </x:c>
      <x:c r="K78" s="21" t="n">
        <x:v>20</x:v>
      </x:c>
      <x:c r="L78" s="21" t="str">
        <x:v>时间顺序回退</x:v>
      </x:c>
    </x:row>
    <x:row r="79">
      <x:c r="A79" s="38" t="n">
        <x:v>7</x:v>
      </x:c>
      <x:c r="B79" s="23" t="str">
        <x:v>看一下深圳东华风车D-HRH和CBN-深圳上威梅沙二U-H5H这两个站点下小区的基站标识、纬度和设备厂商。</x:v>
      </x:c>
      <x:c r="C79" s="23" t="str">
        <x:v>查询深圳东华风车D-HRH和CBN-深圳上威梅沙二U-H5H这两个站点下所有小区的基站标识、纬度和设备厂商</x:v>
      </x:c>
      <x:c r="D79" s="23" t="str">
        <x:v>AICO其他工具</x:v>
      </x:c>
      <x:c r="E79" s="23" t="str">
        <x:v>Glob</x:v>
      </x:c>
      <x:c r="F79" s="21" t="n">
        <x:v>1</x:v>
      </x:c>
      <x:c r="G79" s="21" t="str">
        <x:v>2026-08-12T10:06:02.735</x:v>
      </x:c>
      <x:c r="H79" s="36" t="n">
        <x:v>5040.111</x:v>
      </x:c>
      <x:c r="I79" s="36" t="n">
        <x:f>H79/1000</x:f>
        <x:v>5.040111</x:v>
      </x:c>
      <x:c r="J79" s="21" t="str">
        <x:v>data2/dsv4_2_aico.jsonl</x:v>
      </x:c>
      <x:c r="K79" s="21" t="n">
        <x:v>40</x:v>
      </x:c>
      <x:c r="L79" s="21" t="str">
        <x:v>original精确文本</x:v>
      </x:c>
    </x:row>
    <x:row r="80">
      <x:c r="A80" s="38" t="n">
        <x:v>7</x:v>
      </x:c>
      <x:c r="B80" s="23" t="str">
        <x:v>看一下深圳东华风车D-HRH和CBN-深圳上威梅沙二U-H5H这两个站点下小区的基站标识、纬度和设备厂商。</x:v>
      </x:c>
      <x:c r="C80" s="23" t="str">
        <x:v>查询深圳东华风车D-HRH和CBN-深圳上威梅沙二U-H5H这两个站点下所有小区的基站标识、纬度和设备厂商</x:v>
      </x:c>
      <x:c r="D80" s="23" t="str">
        <x:v>AICO其他工具</x:v>
      </x:c>
      <x:c r="E80" s="23" t="str">
        <x:v>Glob</x:v>
      </x:c>
      <x:c r="F80" s="21" t="n">
        <x:v>2</x:v>
      </x:c>
      <x:c r="G80" s="21" t="str">
        <x:v>2026-08-12T10:06:07.964</x:v>
      </x:c>
      <x:c r="H80" s="36" t="n">
        <x:v>4477.528</x:v>
      </x:c>
      <x:c r="I80" s="36" t="n">
        <x:f>H80/1000</x:f>
        <x:v>4.477528</x:v>
      </x:c>
      <x:c r="J80" s="21" t="str">
        <x:v>data2/dsv4_2_aico.jsonl</x:v>
      </x:c>
      <x:c r="K80" s="21" t="n">
        <x:v>41</x:v>
      </x:c>
      <x:c r="L80" s="21" t="str">
        <x:v>original精确文本</x:v>
      </x:c>
    </x:row>
    <x:row r="81">
      <x:c r="A81" s="38" t="n">
        <x:v>7</x:v>
      </x:c>
      <x:c r="B81" s="23" t="str">
        <x:v>看一下深圳东华风车D-HRH和CBN-深圳上威梅沙二U-H5H这两个站点下小区的基站标识、纬度和设备厂商。</x:v>
      </x:c>
      <x:c r="C81" s="23" t="str">
        <x:v>查询深圳东华风车D-HRH和CBN-深圳上威梅沙二U-H5H这两个站点下所有小区的基站标识、纬度和设备厂商</x:v>
      </x:c>
      <x:c r="D81" s="23" t="str">
        <x:v>AICO其他工具</x:v>
      </x:c>
      <x:c r="E81" s="23" t="str">
        <x:v>Bash</x:v>
      </x:c>
      <x:c r="F81" s="21" t="n">
        <x:v>3</x:v>
      </x:c>
      <x:c r="G81" s="21" t="str">
        <x:v>2026-08-12T10:06:12.714</x:v>
      </x:c>
      <x:c r="H81" s="36" t="n">
        <x:v>5573.056</x:v>
      </x:c>
      <x:c r="I81" s="36" t="n">
        <x:f>H81/1000</x:f>
        <x:v>5.573055999999999</x:v>
      </x:c>
      <x:c r="J81" s="21" t="str">
        <x:v>data2/dsv4_2_aico.jsonl</x:v>
      </x:c>
      <x:c r="K81" s="21" t="n">
        <x:v>42</x:v>
      </x:c>
      <x:c r="L81" s="21" t="str">
        <x:v>original精确文本</x:v>
      </x:c>
    </x:row>
    <x:row r="82">
      <x:c r="A82" s="38" t="n">
        <x:v>7</x:v>
      </x:c>
      <x:c r="B82" s="23" t="str">
        <x:v>看一下深圳东华风车D-HRH和CBN-深圳上威梅沙二U-H5H这两个站点下小区的基站标识、纬度和设备厂商。</x:v>
      </x:c>
      <x:c r="C82" s="23" t="str">
        <x:v>查询深圳东华风车D-HRH和CBN-深圳上威梅沙二U-H5H这两个站点下所有小区的基站标识、纬度和设备厂商</x:v>
      </x:c>
      <x:c r="D82" s="23" t="str">
        <x:v>AICO其他工具</x:v>
      </x:c>
      <x:c r="E82" s="23" t="str">
        <x:v>Bash</x:v>
      </x:c>
      <x:c r="F82" s="21" t="n">
        <x:v>4</x:v>
      </x:c>
      <x:c r="G82" s="21" t="str">
        <x:v>2026-08-12T10:06:18.556</x:v>
      </x:c>
      <x:c r="H82" s="36" t="n">
        <x:v>5490.841</x:v>
      </x:c>
      <x:c r="I82" s="36" t="n">
        <x:f>H82/1000</x:f>
        <x:v>5.4908410000000005</x:v>
      </x:c>
      <x:c r="J82" s="21" t="str">
        <x:v>data2/dsv4_2_aico.jsonl</x:v>
      </x:c>
      <x:c r="K82" s="21" t="n">
        <x:v>43</x:v>
      </x:c>
      <x:c r="L82" s="21" t="str">
        <x:v>original精确文本</x:v>
      </x:c>
    </x:row>
    <x:row r="83">
      <x:c r="A83" s="38" t="n">
        <x:v>7</x:v>
      </x:c>
      <x:c r="B83" s="23" t="str">
        <x:v>看一下深圳东华风车D-HRH和CBN-深圳上威梅沙二U-H5H这两个站点下小区的基站标识、纬度和设备厂商。</x:v>
      </x:c>
      <x:c r="C83" s="23" t="str">
        <x:v>查询深圳东华风车D-HRH和CBN-深圳上威梅沙二U-H5H这两个站点下所有小区的基站标识、纬度和设备厂商</x:v>
      </x:c>
      <x:c r="D83" s="23" t="str">
        <x:v>AICO其他工具</x:v>
      </x:c>
      <x:c r="E83" s="23" t="str">
        <x:v>Bash</x:v>
      </x:c>
      <x:c r="F83" s="21" t="n">
        <x:v>5</x:v>
      </x:c>
      <x:c r="G83" s="21" t="str">
        <x:v>2026-08-12T10:06:24.242</x:v>
      </x:c>
      <x:c r="H83" s="36" t="n">
        <x:v>5163.466</x:v>
      </x:c>
      <x:c r="I83" s="36" t="n">
        <x:f>H83/1000</x:f>
        <x:v>5.1634660000000006</x:v>
      </x:c>
      <x:c r="J83" s="21" t="str">
        <x:v>data2/dsv4_2_aico.jsonl</x:v>
      </x:c>
      <x:c r="K83" s="21" t="n">
        <x:v>44</x:v>
      </x:c>
      <x:c r="L83" s="21" t="str">
        <x:v>original精确文本</x:v>
      </x:c>
    </x:row>
    <x:row r="84">
      <x:c r="A84" s="38" t="n">
        <x:v>7</x:v>
      </x:c>
      <x:c r="B84" s="23" t="str">
        <x:v>看一下深圳东华风车D-HRH和CBN-深圳上威梅沙二U-H5H这两个站点下小区的基站标识、纬度和设备厂商。</x:v>
      </x:c>
      <x:c r="C84" s="23" t="str">
        <x:v>查询深圳东华风车D-HRH和CBN-深圳上威梅沙二U-H5H这两个站点下所有小区的基站标识、纬度和设备厂商</x:v>
      </x:c>
      <x:c r="D84" s="23" t="str">
        <x:v>AICO其他工具</x:v>
      </x:c>
      <x:c r="E84" s="23" t="str">
        <x:v>Bash</x:v>
      </x:c>
      <x:c r="F84" s="21" t="n">
        <x:v>6</x:v>
      </x:c>
      <x:c r="G84" s="21" t="str">
        <x:v>2026-08-12T10:06:29.589</x:v>
      </x:c>
      <x:c r="H84" s="36" t="n">
        <x:v>5273.073</x:v>
      </x:c>
      <x:c r="I84" s="36" t="n">
        <x:f>H84/1000</x:f>
        <x:v>5.273073</x:v>
      </x:c>
      <x:c r="J84" s="21" t="str">
        <x:v>data2/dsv4_2_aico.jsonl</x:v>
      </x:c>
      <x:c r="K84" s="21" t="n">
        <x:v>45</x:v>
      </x:c>
      <x:c r="L84" s="21" t="str">
        <x:v>original精确文本</x:v>
      </x:c>
    </x:row>
    <x:row r="85">
      <x:c r="A85" s="38" t="n">
        <x:v>7</x:v>
      </x:c>
      <x:c r="B85" s="23" t="str">
        <x:v>看一下深圳东华风车D-HRH和CBN-深圳上威梅沙二U-H5H这两个站点下小区的基站标识、纬度和设备厂商。</x:v>
      </x:c>
      <x:c r="C85" s="23" t="str">
        <x:v>查询深圳东华风车D-HRH和CBN-深圳上威梅沙二U-H5H这两个站点下所有小区的基站标识、纬度和设备厂商</x:v>
      </x:c>
      <x:c r="D85" s="23" t="str">
        <x:v>AICO其他工具</x:v>
      </x:c>
      <x:c r="E85" s="23" t="str">
        <x:v>Bash</x:v>
      </x:c>
      <x:c r="F85" s="21" t="n">
        <x:v>7</x:v>
      </x:c>
      <x:c r="G85" s="21" t="str">
        <x:v>2026-08-12T10:06:35.044</x:v>
      </x:c>
      <x:c r="H85" s="36" t="n">
        <x:v>5189.516</x:v>
      </x:c>
      <x:c r="I85" s="36" t="n">
        <x:f>H85/1000</x:f>
        <x:v>5.189515999999999</x:v>
      </x:c>
      <x:c r="J85" s="21" t="str">
        <x:v>data2/dsv4_2_aico.jsonl</x:v>
      </x:c>
      <x:c r="K85" s="21" t="n">
        <x:v>46</x:v>
      </x:c>
      <x:c r="L85" s="21" t="str">
        <x:v>original精确文本</x:v>
      </x:c>
    </x:row>
    <x:row r="86">
      <x:c r="A86" s="38" t="n">
        <x:v>7</x:v>
      </x:c>
      <x:c r="B86" s="23" t="str">
        <x:v>看一下深圳东华风车D-HRH和CBN-深圳上威梅沙二U-H5H这两个站点下小区的基站标识、纬度和设备厂商。</x:v>
      </x:c>
      <x:c r="C86" s="23" t="str">
        <x:v>查询深圳东华风车D-HRH和CBN-深圳上威梅沙二U-H5H这两个站点下所有小区的基站标识、纬度和设备厂商</x:v>
      </x:c>
      <x:c r="D86" s="23" t="str">
        <x:v>AICO其他工具</x:v>
      </x:c>
      <x:c r="E86" s="23" t="str">
        <x:v>Bash</x:v>
      </x:c>
      <x:c r="F86" s="21" t="n">
        <x:v>8</x:v>
      </x:c>
      <x:c r="G86" s="21" t="str">
        <x:v>2026-08-12T10:06:40.401</x:v>
      </x:c>
      <x:c r="H86" s="36" t="n">
        <x:v>7208.954</x:v>
      </x:c>
      <x:c r="I86" s="36" t="n">
        <x:f>H86/1000</x:f>
        <x:v>7.208953999999999</x:v>
      </x:c>
      <x:c r="J86" s="21" t="str">
        <x:v>data2/dsv4_2_aico.jsonl</x:v>
      </x:c>
      <x:c r="K86" s="21" t="n">
        <x:v>47</x:v>
      </x:c>
      <x:c r="L86" s="21" t="str">
        <x:v>original精确文本</x:v>
      </x:c>
    </x:row>
    <x:row r="87">
      <x:c r="A87" s="38" t="n">
        <x:v>7</x:v>
      </x:c>
      <x:c r="B87" s="23" t="str">
        <x:v>看一下深圳东华风车D-HRH和CBN-深圳上威梅沙二U-H5H这两个站点下小区的基站标识、纬度和设备厂商。</x:v>
      </x:c>
      <x:c r="C87" s="23" t="str">
        <x:v>查询深圳东华风车D-HRH和CBN-深圳上威梅沙二U-H5H这两个站点下所有小区的基站标识、纬度和设备厂商</x:v>
      </x:c>
      <x:c r="D87" s="23" t="str">
        <x:v>AICO其他工具</x:v>
      </x:c>
      <x:c r="E87" s="23" t="str">
        <x:v>Bash</x:v>
      </x:c>
      <x:c r="F87" s="21" t="n">
        <x:v>9</x:v>
      </x:c>
      <x:c r="G87" s="21" t="str">
        <x:v>2026-08-12T10:06:47.829</x:v>
      </x:c>
      <x:c r="H87" s="36" t="n">
        <x:v>6130.668</x:v>
      </x:c>
      <x:c r="I87" s="36" t="n">
        <x:f>H87/1000</x:f>
        <x:v>6.130668</x:v>
      </x:c>
      <x:c r="J87" s="21" t="str">
        <x:v>data2/dsv4_2_aico.jsonl</x:v>
      </x:c>
      <x:c r="K87" s="21" t="n">
        <x:v>48</x:v>
      </x:c>
      <x:c r="L87" s="21" t="str">
        <x:v>original精确文本</x:v>
      </x:c>
    </x:row>
    <x:row r="88">
      <x:c r="A88" s="38" t="n">
        <x:v>7</x:v>
      </x:c>
      <x:c r="B88" s="23" t="str">
        <x:v>看一下深圳东华风车D-HRH和CBN-深圳上威梅沙二U-H5H这两个站点下小区的基站标识、纬度和设备厂商。</x:v>
      </x:c>
      <x:c r="C88" s="23" t="str">
        <x:v>查询深圳东华风车D-HRH和CBN-深圳上威梅沙二U-H5H这两个站点下所有小区的基站标识、纬度和设备厂商</x:v>
      </x:c>
      <x:c r="D88" s="23" t="str">
        <x:v>AICO Tool Call - Workflow</x:v>
      </x:c>
      <x:c r="E88" s="23" t="str">
        <x:v>Workflow</x:v>
      </x:c>
      <x:c r="F88" s="21" t="n">
        <x:v>3</x:v>
      </x:c>
      <x:c r="G88" s="21" t="str">
        <x:v>2026-08-12T10:06:54.160</x:v>
      </x:c>
      <x:c r="H88" s="36" t="n">
        <x:v>7065.546</x:v>
      </x:c>
      <x:c r="I88" s="36" t="n">
        <x:f>H88/1000</x:f>
        <x:v>7.065546</x:v>
      </x:c>
      <x:c r="J88" s="21" t="str">
        <x:v>data2/dsv4_2_aico.jsonl</x:v>
      </x:c>
      <x:c r="K88" s="21" t="n">
        <x:v>49</x:v>
      </x:c>
      <x:c r="L88" s="21" t="str">
        <x:v>original精确文本</x:v>
      </x:c>
    </x:row>
    <x:row r="89">
      <x:c r="A89" s="38" t="n">
        <x:v>7</x:v>
      </x:c>
      <x:c r="B89" s="23" t="str">
        <x:v>看一下深圳东华风车D-HRH和CBN-深圳上威梅沙二U-H5H这两个站点下小区的基站标识、纬度和设备厂商。</x:v>
      </x:c>
      <x:c r="C89" s="23" t="str">
        <x:v>查询深圳东华风车D-HRH和CBN-深圳上威梅沙二U-H5H这两个站点下所有小区的基站标识、纬度和设备厂商</x:v>
      </x:c>
      <x:c r="D89" s="23" t="str">
        <x:v>Recipe - DeepSeek</x:v>
      </x:c>
      <x:c r="E89" s="23" t="str">
        <x:v>DeepSeek recipe调用</x:v>
      </x:c>
      <x:c r="F89" s="21" t="n">
        <x:v>3</x:v>
      </x:c>
      <x:c r="G89" s="21" t="str">
        <x:v>2026-08-12T10:07:02.842</x:v>
      </x:c>
      <x:c r="H89" s="36" t="n">
        <x:v>3601.301</x:v>
      </x:c>
      <x:c r="I89" s="36" t="n">
        <x:f>H89/1000</x:f>
        <x:v>3.601301</x:v>
      </x:c>
      <x:c r="J89" s="21" t="str">
        <x:v>data2/dsv4_2_recipe_ds.jsonl</x:v>
      </x:c>
      <x:c r="K89" s="21" t="n">
        <x:v>19</x:v>
      </x:c>
      <x:c r="L89" s="21" t="str">
        <x:v>时间顺序回退</x:v>
      </x:c>
    </x:row>
    <x:row r="90">
      <x:c r="A90" s="38" t="n">
        <x:v>7</x:v>
      </x:c>
      <x:c r="B90" s="23" t="str">
        <x:v>看一下深圳东华风车D-HRH和CBN-深圳上威梅沙二U-H5H这两个站点下小区的基站标识、纬度和设备厂商。</x:v>
      </x:c>
      <x:c r="C90" s="23" t="str">
        <x:v>查询深圳东华风车D-HRH和CBN-深圳上威梅沙二U-H5H这两个站点下所有小区的基站标识、纬度和设备厂商</x:v>
      </x:c>
      <x:c r="D90" s="23" t="str">
        <x:v>Recipe - Qwen执行</x:v>
      </x:c>
      <x:c r="E90" s="23" t="str">
        <x:v>同一问题第7次Qwen调用</x:v>
      </x:c>
      <x:c r="F90" s="21" t="n">
        <x:v>7</x:v>
      </x:c>
      <x:c r="G90" s="21" t="str">
        <x:v>2026-08-12T10:07:06.814</x:v>
      </x:c>
      <x:c r="H90" s="36" t="n">
        <x:v>1309.952</x:v>
      </x:c>
      <x:c r="I90" s="36" t="n">
        <x:f>H90/1000</x:f>
        <x:v>1.309952</x:v>
      </x:c>
      <x:c r="J90" s="21" t="str">
        <x:v>data2/qwen3_2.jsonl</x:v>
      </x:c>
      <x:c r="K90" s="21" t="n">
        <x:v>21</x:v>
      </x:c>
      <x:c r="L90" s="21" t="str">
        <x:v>时间顺序回退</x:v>
      </x:c>
    </x:row>
    <x:row r="91">
      <x:c r="A91" s="38" t="n">
        <x:v>7</x:v>
      </x:c>
      <x:c r="B91" s="23" t="str">
        <x:v>看一下深圳东华风车D-HRH和CBN-深圳上威梅沙二U-H5H这两个站点下小区的基站标识、纬度和设备厂商。</x:v>
      </x:c>
      <x:c r="C91" s="23" t="str">
        <x:v>查询深圳东华风车D-HRH和CBN-深圳上威梅沙二U-H5H这两个站点下所有小区的基站标识、纬度和设备厂商</x:v>
      </x:c>
      <x:c r="D91" s="23" t="str">
        <x:v>Recipe - Qwen总结</x:v>
      </x:c>
      <x:c r="E91" s="23" t="str">
        <x:v>同一问题最后一次Qwen调用</x:v>
      </x:c>
      <x:c r="F91" s="21" t="n">
        <x:v>1</x:v>
      </x:c>
      <x:c r="G91" s="21" t="str">
        <x:v>2026-08-12T10:07:08.669</x:v>
      </x:c>
      <x:c r="H91" s="36" t="n">
        <x:v>2821.038</x:v>
      </x:c>
      <x:c r="I91" s="36" t="n">
        <x:f>H91/1000</x:f>
        <x:v>2.821038</x:v>
      </x:c>
      <x:c r="J91" s="21" t="str">
        <x:v>data2/qwen3_2.jsonl</x:v>
      </x:c>
      <x:c r="K91" s="21" t="n">
        <x:v>22</x:v>
      </x:c>
      <x:c r="L91" s="21" t="str">
        <x:v>时间顺序回退</x:v>
      </x:c>
    </x:row>
    <x:row r="92">
      <x:c r="A92" s="38" t="n">
        <x:v>7</x:v>
      </x:c>
      <x:c r="B92" s="23" t="str">
        <x:v>看一下深圳东华风车D-HRH和CBN-深圳上威梅沙二U-H5H这两个站点下小区的基站标识、纬度和设备厂商。</x:v>
      </x:c>
      <x:c r="C92" s="23" t="str">
        <x:v>查询深圳东华风车D-HRH和CBN-深圳上威梅沙二U-H5H这两个站点下所有小区的基站标识、纬度和设备厂商</x:v>
      </x:c>
      <x:c r="D92" s="23" t="str">
        <x:v>AICO总结</x:v>
      </x:c>
      <x:c r="E92" s="23" t="str">
        <x:v>无tool_calls</x:v>
      </x:c>
      <x:c r="F92" s="21" t="n">
        <x:v>1</x:v>
      </x:c>
      <x:c r="G92" s="21" t="str">
        <x:v>2026-08-12T10:07:11.778</x:v>
      </x:c>
      <x:c r="H92" s="36" t="n">
        <x:v>8449.742</x:v>
      </x:c>
      <x:c r="I92" s="36" t="n">
        <x:f>H92/1000</x:f>
        <x:v>8.449742</x:v>
      </x:c>
      <x:c r="J92" s="21" t="str">
        <x:v>data2/dsv4_2_aico.jsonl</x:v>
      </x:c>
      <x:c r="K92" s="21" t="n">
        <x:v>50</x:v>
      </x:c>
      <x:c r="L92" s="21" t="str">
        <x:v>original精确文本</x:v>
      </x:c>
    </x:row>
    <x:row r="93">
      <x:c r="A93" s="38" t="n">
        <x:v>7</x:v>
      </x:c>
      <x:c r="B93" s="23" t="str">
        <x:v>看一下深圳东华风车D-HRH和CBN-深圳上威梅沙二U-H5H这两个站点下小区的基站标识、纬度和设备厂商。</x:v>
      </x:c>
      <x:c r="C93" s="23" t="str">
        <x:v>查询深圳东华风车D-HRH和CBN-深圳上威梅沙二U-H5H这两个站点下所有小区的基站标识、纬度和设备厂商</x:v>
      </x:c>
      <x:c r="D93" s="23" t="str">
        <x:v>问题推荐</x:v>
      </x:c>
      <x:c r="E93" s="23" t="str">
        <x:v>后续问题推荐</x:v>
      </x:c>
      <x:c r="F93" s="21" t="n">
        <x:v>1</x:v>
      </x:c>
      <x:c r="G93" s="21" t="str">
        <x:v>2026-08-12T10:07:20.619</x:v>
      </x:c>
      <x:c r="H93" s="36" t="n">
        <x:v>5190.647</x:v>
      </x:c>
      <x:c r="I93" s="36" t="n">
        <x:f>H93/1000</x:f>
        <x:v>5.190647</x:v>
      </x:c>
      <x:c r="J93" s="21" t="str">
        <x:v>data2/dsv4_2_recipe_ds.jsonl</x:v>
      </x:c>
      <x:c r="K93" s="21" t="n">
        <x:v>20</x:v>
      </x:c>
      <x:c r="L93" s="21" t="str">
        <x:v>original精确文本</x:v>
      </x:c>
    </x:row>
    <x:row r="94">
      <x:c r="A94" s="38" t="n">
        <x:v>8</x:v>
      </x:c>
      <x:c r="B94" s="23" t="str">
        <x:v>对比一下CBN-深圳梅沙湾U-H5H-0712、CBN-深圳梅沙湾U-H5H-0711和CBN-深圳东海岸三[CBN-深圳天麓八区U-H5H]U-H5H-0711这三个小区的移动国家码、方向角和天线高度。</x:v>
      </x:c>
      <x:c r="C94" s="23" t="str">
        <x:v>查询小区CBN-深圳梅沙湾U-H5H-0712、CBN-深圳梅沙湾U-H5H-0711和CBN-深圳东海岸三[CBN-深圳天麓八区U-H5H]U-H5H-0711的移动国家码、方向角和天线高度</x:v>
      </x:c>
      <x:c r="D94" s="23" t="str">
        <x:v>AICO Tool Call - Skill</x:v>
      </x:c>
      <x:c r="E94" s="23" t="str">
        <x:v>Skill</x:v>
      </x:c>
      <x:c r="F94" s="21" t="n">
        <x:v>1</x:v>
      </x:c>
      <x:c r="G94" s="21" t="str">
        <x:v>2026-08-12T10:07:21.470</x:v>
      </x:c>
      <x:c r="H94" s="36" t="n">
        <x:v>6753.836</x:v>
      </x:c>
      <x:c r="I94" s="36" t="n">
        <x:f>H94/1000</x:f>
        <x:v>6.753836000000001</x:v>
      </x:c>
      <x:c r="J94" s="21" t="str">
        <x:v>data2/dsv4_2_aico.jsonl</x:v>
      </x:c>
      <x:c r="K94" s="21" t="n">
        <x:v>51</x:v>
      </x:c>
      <x:c r="L94" s="21" t="str">
        <x:v>original精确文本</x:v>
      </x:c>
    </x:row>
    <x:row r="95">
      <x:c r="A95" s="38" t="n">
        <x:v>8</x:v>
      </x:c>
      <x:c r="B95" s="23" t="str">
        <x:v>对比一下CBN-深圳梅沙湾U-H5H-0712、CBN-深圳梅沙湾U-H5H-0711和CBN-深圳东海岸三[CBN-深圳天麓八区U-H5H]U-H5H-0711这三个小区的移动国家码、方向角和天线高度。</x:v>
      </x:c>
      <x:c r="C95" s="23" t="str">
        <x:v>查询小区CBN-深圳梅沙湾U-H5H-0712、CBN-深圳梅沙湾U-H5H-0711和CBN-深圳东海岸三[CBN-深圳天麓八区U-H5H]U-H5H-0711的移动国家码、方向角和天线高度</x:v>
      </x:c>
      <x:c r="D95" s="23" t="str">
        <x:v>AICO Tool Call - Workflow</x:v>
      </x:c>
      <x:c r="E95" s="23" t="str">
        <x:v>Workflow</x:v>
      </x:c>
      <x:c r="F95" s="21" t="n">
        <x:v>1</x:v>
      </x:c>
      <x:c r="G95" s="21" t="str">
        <x:v>2026-08-12T10:07:28.391</x:v>
      </x:c>
      <x:c r="H95" s="36" t="n">
        <x:v>9053.652</x:v>
      </x:c>
      <x:c r="I95" s="36" t="n">
        <x:f>H95/1000</x:f>
        <x:v>9.053652</x:v>
      </x:c>
      <x:c r="J95" s="21" t="str">
        <x:v>data2/dsv4_2_aico.jsonl</x:v>
      </x:c>
      <x:c r="K95" s="21" t="n">
        <x:v>52</x:v>
      </x:c>
      <x:c r="L95" s="21" t="str">
        <x:v>original精确文本</x:v>
      </x:c>
    </x:row>
    <x:row r="96">
      <x:c r="A96" s="38" t="n">
        <x:v>8</x:v>
      </x:c>
      <x:c r="B96" s="23" t="str">
        <x:v>对比一下CBN-深圳梅沙湾U-H5H-0712、CBN-深圳梅沙湾U-H5H-0711和CBN-深圳东海岸三[CBN-深圳天麓八区U-H5H]U-H5H-0711这三个小区的移动国家码、方向角和天线高度。</x:v>
      </x:c>
      <x:c r="C96" s="23" t="str">
        <x:v>查询小区CBN-深圳梅沙湾U-H5H-0712、CBN-深圳梅沙湾U-H5H-0711和CBN-深圳东海岸三[CBN-深圳天麓八区U-H5H]U-H5H-0711的移动国家码、方向角和天线高度</x:v>
      </x:c>
      <x:c r="D96" s="23" t="str">
        <x:v>Recipe - DeepSeek</x:v>
      </x:c>
      <x:c r="E96" s="23" t="str">
        <x:v>DeepSeek recipe调用</x:v>
      </x:c>
      <x:c r="F96" s="21" t="n">
        <x:v>1</x:v>
      </x:c>
      <x:c r="G96" s="21" t="str">
        <x:v>2026-08-12T10:07:38.949</x:v>
      </x:c>
      <x:c r="H96" s="36" t="n">
        <x:v>4680.569</x:v>
      </x:c>
      <x:c r="I96" s="36" t="n">
        <x:f>H96/1000</x:f>
        <x:v>4.680569</x:v>
      </x:c>
      <x:c r="J96" s="21" t="str">
        <x:v>data2/dsv4_2_recipe_ds.jsonl</x:v>
      </x:c>
      <x:c r="K96" s="21" t="n">
        <x:v>21</x:v>
      </x:c>
      <x:c r="L96" s="21" t="str">
        <x:v>processed精确文本</x:v>
      </x:c>
    </x:row>
    <x:row r="97">
      <x:c r="A97" s="38" t="n">
        <x:v>8</x:v>
      </x:c>
      <x:c r="B97" s="23" t="str">
        <x:v>对比一下CBN-深圳梅沙湾U-H5H-0712、CBN-深圳梅沙湾U-H5H-0711和CBN-深圳东海岸三[CBN-深圳天麓八区U-H5H]U-H5H-0711这三个小区的移动国家码、方向角和天线高度。</x:v>
      </x:c>
      <x:c r="C97" s="23" t="str">
        <x:v>查询小区CBN-深圳梅沙湾U-H5H-0712、CBN-深圳梅沙湾U-H5H-0711和CBN-深圳东海岸三[CBN-深圳天麓八区U-H5H]U-H5H-0711的移动国家码、方向角和天线高度</x:v>
      </x:c>
      <x:c r="D97" s="23" t="str">
        <x:v>Recipe - Qwen执行</x:v>
      </x:c>
      <x:c r="E97" s="23" t="str">
        <x:v>同一问题第1次Qwen调用</x:v>
      </x:c>
      <x:c r="F97" s="21" t="n">
        <x:v>1</x:v>
      </x:c>
      <x:c r="G97" s="21" t="str">
        <x:v>2026-08-12T10:07:43.983</x:v>
      </x:c>
      <x:c r="H97" s="36" t="n">
        <x:v>1882.456</x:v>
      </x:c>
      <x:c r="I97" s="36" t="n">
        <x:f>H97/1000</x:f>
        <x:v>1.882456</x:v>
      </x:c>
      <x:c r="J97" s="21" t="str">
        <x:v>data2/qwen3_2.jsonl</x:v>
      </x:c>
      <x:c r="K97" s="21" t="n">
        <x:v>23</x:v>
      </x:c>
      <x:c r="L97" s="21" t="str">
        <x:v>processed精确文本</x:v>
      </x:c>
    </x:row>
    <x:row r="98">
      <x:c r="A98" s="38" t="n">
        <x:v>8</x:v>
      </x:c>
      <x:c r="B98" s="23" t="str">
        <x:v>对比一下CBN-深圳梅沙湾U-H5H-0712、CBN-深圳梅沙湾U-H5H-0711和CBN-深圳东海岸三[CBN-深圳天麓八区U-H5H]U-H5H-0711这三个小区的移动国家码、方向角和天线高度。</x:v>
      </x:c>
      <x:c r="C98" s="23" t="str">
        <x:v>查询小区CBN-深圳梅沙湾U-H5H-0712、CBN-深圳梅沙湾U-H5H-0711和CBN-深圳东海岸三[CBN-深圳天麓八区U-H5H]U-H5H-0711的移动国家码、方向角和天线高度</x:v>
      </x:c>
      <x:c r="D98" s="23" t="str">
        <x:v>Recipe - Qwen总结</x:v>
      </x:c>
      <x:c r="E98" s="23" t="str">
        <x:v>同一问题最后一次Qwen调用</x:v>
      </x:c>
      <x:c r="F98" s="21" t="n">
        <x:v>1</x:v>
      </x:c>
      <x:c r="G98" s="21" t="str">
        <x:v>2026-08-12T10:07:46.375</x:v>
      </x:c>
      <x:c r="H98" s="36" t="n">
        <x:v>2357.483</x:v>
      </x:c>
      <x:c r="I98" s="36" t="n">
        <x:f>H98/1000</x:f>
        <x:v>2.357483</x:v>
      </x:c>
      <x:c r="J98" s="21" t="str">
        <x:v>data2/qwen3_2.jsonl</x:v>
      </x:c>
      <x:c r="K98" s="21" t="n">
        <x:v>24</x:v>
      </x:c>
      <x:c r="L98" s="21" t="str">
        <x:v>processed精确文本</x:v>
      </x:c>
    </x:row>
    <x:row r="99">
      <x:c r="A99" s="38" t="n">
        <x:v>8</x:v>
      </x:c>
      <x:c r="B99" s="23" t="str">
        <x:v>对比一下CBN-深圳梅沙湾U-H5H-0712、CBN-深圳梅沙湾U-H5H-0711和CBN-深圳东海岸三[CBN-深圳天麓八区U-H5H]U-H5H-0711这三个小区的移动国家码、方向角和天线高度。</x:v>
      </x:c>
      <x:c r="C99" s="23" t="str">
        <x:v>查询小区CBN-深圳梅沙湾U-H5H-0712、CBN-深圳梅沙湾U-H5H-0711和CBN-深圳东海岸三[CBN-深圳天麓八区U-H5H]U-H5H-0711的移动国家码、方向角和天线高度</x:v>
      </x:c>
      <x:c r="D99" s="23" t="str">
        <x:v>AICO总结</x:v>
      </x:c>
      <x:c r="E99" s="23" t="str">
        <x:v>无tool_calls</x:v>
      </x:c>
      <x:c r="F99" s="21" t="n">
        <x:v>1</x:v>
      </x:c>
      <x:c r="G99" s="21" t="str">
        <x:v>2026-08-12T10:07:49.062</x:v>
      </x:c>
      <x:c r="H99" s="36" t="n">
        <x:v>8548.683</x:v>
      </x:c>
      <x:c r="I99" s="36" t="n">
        <x:f>H99/1000</x:f>
        <x:v>8.548683</x:v>
      </x:c>
      <x:c r="J99" s="21" t="str">
        <x:v>data2/dsv4_2_aico.jsonl</x:v>
      </x:c>
      <x:c r="K99" s="21" t="n">
        <x:v>53</x:v>
      </x:c>
      <x:c r="L99" s="21" t="str">
        <x:v>original精确文本</x:v>
      </x:c>
    </x:row>
    <x:row r="100">
      <x:c r="A100" s="38" t="n">
        <x:v>8</x:v>
      </x:c>
      <x:c r="B100" s="23" t="str">
        <x:v>对比一下CBN-深圳梅沙湾U-H5H-0712、CBN-深圳梅沙湾U-H5H-0711和CBN-深圳东海岸三[CBN-深圳天麓八区U-H5H]U-H5H-0711这三个小区的移动国家码、方向角和天线高度。</x:v>
      </x:c>
      <x:c r="C100" s="23" t="str">
        <x:v>查询小区CBN-深圳梅沙湾U-H5H-0712、CBN-深圳梅沙湾U-H5H-0711和CBN-深圳东海岸三[CBN-深圳天麓八区U-H5H]U-H5H-0711的移动国家码、方向角和天线高度</x:v>
      </x:c>
      <x:c r="D100" s="23" t="str">
        <x:v>问题推荐</x:v>
      </x:c>
      <x:c r="E100" s="23" t="str">
        <x:v>后续问题推荐</x:v>
      </x:c>
      <x:c r="F100" s="21" t="n">
        <x:v>1</x:v>
      </x:c>
      <x:c r="G100" s="21" t="str">
        <x:v>2026-08-12T10:07:57.945</x:v>
      </x:c>
      <x:c r="H100" s="36" t="n">
        <x:v>5554.384</x:v>
      </x:c>
      <x:c r="I100" s="36" t="n">
        <x:f>H100/1000</x:f>
        <x:v>5.554384</x:v>
      </x:c>
      <x:c r="J100" s="21" t="str">
        <x:v>data2/dsv4_2_recipe_ds.jsonl</x:v>
      </x:c>
      <x:c r="K100" s="21" t="n">
        <x:v>22</x:v>
      </x:c>
      <x:c r="L100" s="21" t="str">
        <x:v>original精确文本</x:v>
      </x:c>
    </x:row>
    <x:row r="101">
      <x:c r="A101" s="38" t="n">
        <x:v>9</x:v>
      </x:c>
      <x:c r="B101" s="23" t="str">
        <x:v>找出CBN-福州晋安-站东路三环北路交叉西C-HRRH和CBN-福州仓山-高铁鸡笼山隧道入口C-HRRH这两个站点下小区的经度、纬度和方位角。</x:v>
      </x:c>
      <x:c r="C101" s="23" t="str">
        <x:v>查询站点 CBN-福州晋安-站东路三环北路交叉西C-HRRH 和 CBN-福州仓山-高铁鸡笼山隧道入口C-HRRH 下所有小区的经度、纬度和方位角</x:v>
      </x:c>
      <x:c r="D101" s="23" t="str">
        <x:v>AICO Tool Call - Skill</x:v>
      </x:c>
      <x:c r="E101" s="23" t="str">
        <x:v>Skill</x:v>
      </x:c>
      <x:c r="F101" s="21" t="n">
        <x:v>1</x:v>
      </x:c>
      <x:c r="G101" s="21" t="str">
        <x:v>2026-08-12T10:07:58.873</x:v>
      </x:c>
      <x:c r="H101" s="36" t="n">
        <x:v>6181.394</x:v>
      </x:c>
      <x:c r="I101" s="36" t="n">
        <x:f>H101/1000</x:f>
        <x:v>6.181394</x:v>
      </x:c>
      <x:c r="J101" s="21" t="str">
        <x:v>data2/dsv4_2_aico.jsonl</x:v>
      </x:c>
      <x:c r="K101" s="21" t="n">
        <x:v>54</x:v>
      </x:c>
      <x:c r="L101" s="21" t="str">
        <x:v>original精确文本</x:v>
      </x:c>
    </x:row>
    <x:row r="102">
      <x:c r="A102" s="38" t="n">
        <x:v>9</x:v>
      </x:c>
      <x:c r="B102" s="23" t="str">
        <x:v>找出CBN-福州晋安-站东路三环北路交叉西C-HRRH和CBN-福州仓山-高铁鸡笼山隧道入口C-HRRH这两个站点下小区的经度、纬度和方位角。</x:v>
      </x:c>
      <x:c r="C102" s="23" t="str">
        <x:v>查询站点 CBN-福州晋安-站东路三环北路交叉西C-HRRH 和 CBN-福州仓山-高铁鸡笼山隧道入口C-HRRH 下所有小区的经度、纬度和方位角</x:v>
      </x:c>
      <x:c r="D102" s="23" t="str">
        <x:v>AICO Tool Call - Workflow</x:v>
      </x:c>
      <x:c r="E102" s="23" t="str">
        <x:v>Workflow</x:v>
      </x:c>
      <x:c r="F102" s="21" t="n">
        <x:v>1</x:v>
      </x:c>
      <x:c r="G102" s="21" t="str">
        <x:v>2026-08-12T10:08:05.349</x:v>
      </x:c>
      <x:c r="H102" s="36" t="n">
        <x:v>8527.335</x:v>
      </x:c>
      <x:c r="I102" s="36" t="n">
        <x:f>H102/1000</x:f>
        <x:v>8.527334999999999</x:v>
      </x:c>
      <x:c r="J102" s="21" t="str">
        <x:v>data2/dsv4_2_aico.jsonl</x:v>
      </x:c>
      <x:c r="K102" s="21" t="n">
        <x:v>55</x:v>
      </x:c>
      <x:c r="L102" s="21" t="str">
        <x:v>original精确文本</x:v>
      </x:c>
    </x:row>
    <x:row r="103">
      <x:c r="A103" s="38" t="n">
        <x:v>9</x:v>
      </x:c>
      <x:c r="B103" s="23" t="str">
        <x:v>找出CBN-福州晋安-站东路三环北路交叉西C-HRRH和CBN-福州仓山-高铁鸡笼山隧道入口C-HRRH这两个站点下小区的经度、纬度和方位角。</x:v>
      </x:c>
      <x:c r="C103" s="23" t="str">
        <x:v>查询站点 CBN-福州晋安-站东路三环北路交叉西C-HRRH 和 CBN-福州仓山-高铁鸡笼山隧道入口C-HRRH 下所有小区的经度、纬度和方位角</x:v>
      </x:c>
      <x:c r="D103" s="23" t="str">
        <x:v>Recipe - DeepSeek</x:v>
      </x:c>
      <x:c r="E103" s="23" t="str">
        <x:v>DeepSeek recipe调用</x:v>
      </x:c>
      <x:c r="F103" s="21" t="n">
        <x:v>1</x:v>
      </x:c>
      <x:c r="G103" s="21" t="str">
        <x:v>2026-08-12T10:08:15.289</x:v>
      </x:c>
      <x:c r="H103" s="36" t="n">
        <x:v>4271.592</x:v>
      </x:c>
      <x:c r="I103" s="36" t="n">
        <x:f>H103/1000</x:f>
        <x:v>4.271592</x:v>
      </x:c>
      <x:c r="J103" s="21" t="str">
        <x:v>data2/dsv4_2_recipe_ds.jsonl</x:v>
      </x:c>
      <x:c r="K103" s="21" t="n">
        <x:v>23</x:v>
      </x:c>
      <x:c r="L103" s="21" t="str">
        <x:v>processed精确文本</x:v>
      </x:c>
    </x:row>
    <x:row r="104">
      <x:c r="A104" s="38" t="n">
        <x:v>9</x:v>
      </x:c>
      <x:c r="B104" s="23" t="str">
        <x:v>找出CBN-福州晋安-站东路三环北路交叉西C-HRRH和CBN-福州仓山-高铁鸡笼山隧道入口C-HRRH这两个站点下小区的经度、纬度和方位角。</x:v>
      </x:c>
      <x:c r="C104" s="23" t="str">
        <x:v>查询站点 CBN-福州晋安-站东路三环北路交叉西C-HRRH 和 CBN-福州仓山-高铁鸡笼山隧道入口C-HRRH 下所有小区的经度、纬度和方位角</x:v>
      </x:c>
      <x:c r="D104" s="23" t="str">
        <x:v>Recipe - Qwen执行</x:v>
      </x:c>
      <x:c r="E104" s="23" t="str">
        <x:v>同一问题第1次Qwen调用</x:v>
      </x:c>
      <x:c r="F104" s="21" t="n">
        <x:v>1</x:v>
      </x:c>
      <x:c r="G104" s="21" t="str">
        <x:v>2026-08-12T10:08:19.878</x:v>
      </x:c>
      <x:c r="H104" s="36" t="n">
        <x:v>1399.027</x:v>
      </x:c>
      <x:c r="I104" s="36" t="n">
        <x:f>H104/1000</x:f>
        <x:v>1.399027</x:v>
      </x:c>
      <x:c r="J104" s="21" t="str">
        <x:v>data2/qwen3_2.jsonl</x:v>
      </x:c>
      <x:c r="K104" s="21" t="n">
        <x:v>25</x:v>
      </x:c>
      <x:c r="L104" s="21" t="str">
        <x:v>processed精确文本</x:v>
      </x:c>
    </x:row>
    <x:row r="105">
      <x:c r="A105" s="38" t="n">
        <x:v>9</x:v>
      </x:c>
      <x:c r="B105" s="23" t="str">
        <x:v>找出CBN-福州晋安-站东路三环北路交叉西C-HRRH和CBN-福州仓山-高铁鸡笼山隧道入口C-HRRH这两个站点下小区的经度、纬度和方位角。</x:v>
      </x:c>
      <x:c r="C105" s="23" t="str">
        <x:v>查询站点 CBN-福州晋安-站东路三环北路交叉西C-HRRH 和 CBN-福州仓山-高铁鸡笼山隧道入口C-HRRH 下所有小区的经度、纬度和方位角</x:v>
      </x:c>
      <x:c r="D105" s="23" t="str">
        <x:v>Recipe - Qwen总结</x:v>
      </x:c>
      <x:c r="E105" s="23" t="str">
        <x:v>同一问题最后一次Qwen调用</x:v>
      </x:c>
      <x:c r="F105" s="21" t="n">
        <x:v>1</x:v>
      </x:c>
      <x:c r="G105" s="21" t="str">
        <x:v>2026-08-12T10:08:21.783</x:v>
      </x:c>
      <x:c r="H105" s="36" t="n">
        <x:v>3378.403</x:v>
      </x:c>
      <x:c r="I105" s="36" t="n">
        <x:f>H105/1000</x:f>
        <x:v>3.3784029999999996</x:v>
      </x:c>
      <x:c r="J105" s="21" t="str">
        <x:v>data2/qwen3_2.jsonl</x:v>
      </x:c>
      <x:c r="K105" s="21" t="n">
        <x:v>26</x:v>
      </x:c>
      <x:c r="L105" s="21" t="str">
        <x:v>processed精确文本</x:v>
      </x:c>
    </x:row>
    <x:row r="106">
      <x:c r="A106" s="38" t="n">
        <x:v>9</x:v>
      </x:c>
      <x:c r="B106" s="23" t="str">
        <x:v>找出CBN-福州晋安-站东路三环北路交叉西C-HRRH和CBN-福州仓山-高铁鸡笼山隧道入口C-HRRH这两个站点下小区的经度、纬度和方位角。</x:v>
      </x:c>
      <x:c r="C106" s="23" t="str">
        <x:v>查询站点 CBN-福州晋安-站东路三环北路交叉西C-HRRH 和 CBN-福州仓山-高铁鸡笼山隧道入口C-HRRH 下所有小区的经度、纬度和方位角</x:v>
      </x:c>
      <x:c r="D106" s="23" t="str">
        <x:v>AICO总结</x:v>
      </x:c>
      <x:c r="E106" s="23" t="str">
        <x:v>无tool_calls</x:v>
      </x:c>
      <x:c r="F106" s="21" t="n">
        <x:v>1</x:v>
      </x:c>
      <x:c r="G106" s="21" t="str">
        <x:v>2026-08-12T10:08:25.424</x:v>
      </x:c>
      <x:c r="H106" s="36" t="n">
        <x:v>12578.814</x:v>
      </x:c>
      <x:c r="I106" s="36" t="n">
        <x:f>H106/1000</x:f>
        <x:v>12.578814</x:v>
      </x:c>
      <x:c r="J106" s="21" t="str">
        <x:v>data2/dsv4_2_aico.jsonl</x:v>
      </x:c>
      <x:c r="K106" s="21" t="n">
        <x:v>56</x:v>
      </x:c>
      <x:c r="L106" s="21" t="str">
        <x:v>original精确文本</x:v>
      </x:c>
    </x:row>
    <x:row r="107">
      <x:c r="A107" s="38" t="n">
        <x:v>9</x:v>
      </x:c>
      <x:c r="B107" s="23" t="str">
        <x:v>找出CBN-福州晋安-站东路三环北路交叉西C-HRRH和CBN-福州仓山-高铁鸡笼山隧道入口C-HRRH这两个站点下小区的经度、纬度和方位角。</x:v>
      </x:c>
      <x:c r="C107" s="23" t="str">
        <x:v>查询站点 CBN-福州晋安-站东路三环北路交叉西C-HRRH 和 CBN-福州仓山-高铁鸡笼山隧道入口C-HRRH 下所有小区的经度、纬度和方位角</x:v>
      </x:c>
      <x:c r="D107" s="23" t="str">
        <x:v>问题推荐</x:v>
      </x:c>
      <x:c r="E107" s="23" t="str">
        <x:v>后续问题推荐</x:v>
      </x:c>
      <x:c r="F107" s="21" t="n">
        <x:v>1</x:v>
      </x:c>
      <x:c r="G107" s="21" t="str">
        <x:v>2026-08-12T10:08:38.425</x:v>
      </x:c>
      <x:c r="H107" s="36" t="n">
        <x:v>5781.479</x:v>
      </x:c>
      <x:c r="I107" s="36" t="n">
        <x:f>H107/1000</x:f>
        <x:v>5.781479</x:v>
      </x:c>
      <x:c r="J107" s="21" t="str">
        <x:v>data2/dsv4_2_recipe_ds.jsonl</x:v>
      </x:c>
      <x:c r="K107" s="21" t="n">
        <x:v>24</x:v>
      </x:c>
      <x:c r="L107" s="21" t="str">
        <x:v>original精确文本</x:v>
      </x:c>
    </x:row>
    <x:row r="108">
      <x:c r="A108" s="38" t="n">
        <x:v>10</x:v>
      </x:c>
      <x:c r="B108" s="23" t="str">
        <x:v>确认一下CBN-福州晋安-东浦新村4号楼C-HRHH-512、CBN-福州晋安-东浦新村4号楼C-HRHH-514和深圳大梅沙D-HRH-3这三个小区的站点名称、小区标识和电子下倾角。</x:v>
      </x:c>
      <x:c r="C108" s="23" t="str">
        <x:v>查询小区 CBN-福州晋安-东浦新村4号楼C-HRHH-512、CBN-福州晋安-东浦新村4号楼C-HRHH-514 和 深圳大梅沙D-HRH-3 的站点名称、小区标识和电子下倾角</x:v>
      </x:c>
      <x:c r="D108" s="23" t="str">
        <x:v>AICO Tool Call - Skill</x:v>
      </x:c>
      <x:c r="E108" s="23" t="str">
        <x:v>Skill</x:v>
      </x:c>
      <x:c r="F108" s="21" t="n">
        <x:v>1</x:v>
      </x:c>
      <x:c r="G108" s="21" t="str">
        <x:v>2026-08-12T10:08:39.269</x:v>
      </x:c>
      <x:c r="H108" s="36" t="n">
        <x:v>6415.145</x:v>
      </x:c>
      <x:c r="I108" s="36" t="n">
        <x:f>H108/1000</x:f>
        <x:v>6.415145000000001</x:v>
      </x:c>
      <x:c r="J108" s="21" t="str">
        <x:v>data2/dsv4_2_aico.jsonl</x:v>
      </x:c>
      <x:c r="K108" s="21" t="n">
        <x:v>57</x:v>
      </x:c>
      <x:c r="L108" s="21" t="str">
        <x:v>original精确文本</x:v>
      </x:c>
    </x:row>
    <x:row r="109">
      <x:c r="A109" s="38" t="n">
        <x:v>10</x:v>
      </x:c>
      <x:c r="B109" s="23" t="str">
        <x:v>确认一下CBN-福州晋安-东浦新村4号楼C-HRHH-512、CBN-福州晋安-东浦新村4号楼C-HRHH-514和深圳大梅沙D-HRH-3这三个小区的站点名称、小区标识和电子下倾角。</x:v>
      </x:c>
      <x:c r="C109" s="23" t="str">
        <x:v>查询小区 CBN-福州晋安-东浦新村4号楼C-HRHH-512、CBN-福州晋安-东浦新村4号楼C-HRHH-514 和 深圳大梅沙D-HRH-3 的站点名称、小区标识和电子下倾角</x:v>
      </x:c>
      <x:c r="D109" s="23" t="str">
        <x:v>AICO Tool Call - Workflow</x:v>
      </x:c>
      <x:c r="E109" s="23" t="str">
        <x:v>Workflow</x:v>
      </x:c>
      <x:c r="F109" s="21" t="n">
        <x:v>1</x:v>
      </x:c>
      <x:c r="G109" s="21" t="str">
        <x:v>2026-08-12T10:08:46.010</x:v>
      </x:c>
      <x:c r="H109" s="36" t="n">
        <x:v>5940.845</x:v>
      </x:c>
      <x:c r="I109" s="36" t="n">
        <x:f>H109/1000</x:f>
        <x:v>5.940845</x:v>
      </x:c>
      <x:c r="J109" s="21" t="str">
        <x:v>data2/dsv4_2_aico.jsonl</x:v>
      </x:c>
      <x:c r="K109" s="21" t="n">
        <x:v>58</x:v>
      </x:c>
      <x:c r="L109" s="21" t="str">
        <x:v>original精确文本</x:v>
      </x:c>
    </x:row>
    <x:row r="110">
      <x:c r="A110" s="38" t="n">
        <x:v>10</x:v>
      </x:c>
      <x:c r="B110" s="23" t="str">
        <x:v>确认一下CBN-福州晋安-东浦新村4号楼C-HRHH-512、CBN-福州晋安-东浦新村4号楼C-HRHH-514和深圳大梅沙D-HRH-3这三个小区的站点名称、小区标识和电子下倾角。</x:v>
      </x:c>
      <x:c r="C110" s="23" t="str">
        <x:v>查询小区 CBN-福州晋安-东浦新村4号楼C-HRHH-512、CBN-福州晋安-东浦新村4号楼C-HRHH-514 和 深圳大梅沙D-HRH-3 的站点名称、小区标识和电子下倾角</x:v>
      </x:c>
      <x:c r="D110" s="23" t="str">
        <x:v>Recipe - DeepSeek</x:v>
      </x:c>
      <x:c r="E110" s="23" t="str">
        <x:v>DeepSeek recipe调用</x:v>
      </x:c>
      <x:c r="F110" s="21" t="n">
        <x:v>1</x:v>
      </x:c>
      <x:c r="G110" s="21" t="str">
        <x:v>2026-08-12T10:08:53.358</x:v>
      </x:c>
      <x:c r="H110" s="36" t="n">
        <x:v>4369.805</x:v>
      </x:c>
      <x:c r="I110" s="36" t="n">
        <x:f>H110/1000</x:f>
        <x:v>4.369805</x:v>
      </x:c>
      <x:c r="J110" s="21" t="str">
        <x:v>data2/dsv4_2_recipe_ds.jsonl</x:v>
      </x:c>
      <x:c r="K110" s="21" t="n">
        <x:v>25</x:v>
      </x:c>
      <x:c r="L110" s="21" t="str">
        <x:v>processed精确文本</x:v>
      </x:c>
    </x:row>
    <x:row r="111">
      <x:c r="A111" s="38" t="n">
        <x:v>10</x:v>
      </x:c>
      <x:c r="B111" s="23" t="str">
        <x:v>确认一下CBN-福州晋安-东浦新村4号楼C-HRHH-512、CBN-福州晋安-东浦新村4号楼C-HRHH-514和深圳大梅沙D-HRH-3这三个小区的站点名称、小区标识和电子下倾角。</x:v>
      </x:c>
      <x:c r="C111" s="23" t="str">
        <x:v>查询小区 CBN-福州晋安-东浦新村4号楼C-HRHH-512、CBN-福州晋安-东浦新村4号楼C-HRHH-514 和 深圳大梅沙D-HRH-3 的站点名称、小区标识和电子下倾角</x:v>
      </x:c>
      <x:c r="D111" s="23" t="str">
        <x:v>Recipe - Qwen执行</x:v>
      </x:c>
      <x:c r="E111" s="23" t="str">
        <x:v>同一问题第1次Qwen调用</x:v>
      </x:c>
      <x:c r="F111" s="21" t="n">
        <x:v>1</x:v>
      </x:c>
      <x:c r="G111" s="21" t="str">
        <x:v>2026-08-12T10:08:58.078</x:v>
      </x:c>
      <x:c r="H111" s="36" t="n">
        <x:v>1836.761</x:v>
      </x:c>
      <x:c r="I111" s="36" t="n">
        <x:f>H111/1000</x:f>
        <x:v>1.8367609999999999</x:v>
      </x:c>
      <x:c r="J111" s="21" t="str">
        <x:v>data2/qwen3_2.jsonl</x:v>
      </x:c>
      <x:c r="K111" s="21" t="n">
        <x:v>27</x:v>
      </x:c>
      <x:c r="L111" s="21" t="str">
        <x:v>processed精确文本</x:v>
      </x:c>
    </x:row>
    <x:row r="112">
      <x:c r="A112" s="38" t="n">
        <x:v>10</x:v>
      </x:c>
      <x:c r="B112" s="23" t="str">
        <x:v>确认一下CBN-福州晋安-东浦新村4号楼C-HRHH-512、CBN-福州晋安-东浦新村4号楼C-HRHH-514和深圳大梅沙D-HRH-3这三个小区的站点名称、小区标识和电子下倾角。</x:v>
      </x:c>
      <x:c r="C112" s="23" t="str">
        <x:v>查询小区 CBN-福州晋安-东浦新村4号楼C-HRHH-512、CBN-福州晋安-东浦新村4号楼C-HRHH-514 和 深圳大梅沙D-HRH-3 的站点名称、小区标识和电子下倾角</x:v>
      </x:c>
      <x:c r="D112" s="23" t="str">
        <x:v>Recipe - Qwen总结</x:v>
      </x:c>
      <x:c r="E112" s="23" t="str">
        <x:v>同一问题最后一次Qwen调用</x:v>
      </x:c>
      <x:c r="F112" s="21" t="n">
        <x:v>1</x:v>
      </x:c>
      <x:c r="G112" s="21" t="str">
        <x:v>2026-08-12T10:09:00.434</x:v>
      </x:c>
      <x:c r="H112" s="36" t="n">
        <x:v>2917.665</x:v>
      </x:c>
      <x:c r="I112" s="36" t="n">
        <x:f>H112/1000</x:f>
        <x:v>2.917665</x:v>
      </x:c>
      <x:c r="J112" s="21" t="str">
        <x:v>data2/qwen3_2.jsonl</x:v>
      </x:c>
      <x:c r="K112" s="21" t="n">
        <x:v>28</x:v>
      </x:c>
      <x:c r="L112" s="21" t="str">
        <x:v>processed精确文本</x:v>
      </x:c>
    </x:row>
    <x:row r="113">
      <x:c r="A113" s="38" t="n">
        <x:v>10</x:v>
      </x:c>
      <x:c r="B113" s="23" t="str">
        <x:v>确认一下CBN-福州晋安-东浦新村4号楼C-HRHH-512、CBN-福州晋安-东浦新村4号楼C-HRHH-514和深圳大梅沙D-HRH-3这三个小区的站点名称、小区标识和电子下倾角。</x:v>
      </x:c>
      <x:c r="C113" s="23" t="str">
        <x:v>查询小区 CBN-福州晋安-东浦新村4号楼C-HRHH-512、CBN-福州晋安-东浦新村4号楼C-HRHH-514 和 深圳大梅沙D-HRH-3 的站点名称、小区标识和电子下倾角</x:v>
      </x:c>
      <x:c r="D113" s="23" t="str">
        <x:v>AICO总结</x:v>
      </x:c>
      <x:c r="E113" s="23" t="str">
        <x:v>无tool_calls</x:v>
      </x:c>
      <x:c r="F113" s="21" t="n">
        <x:v>1</x:v>
      </x:c>
      <x:c r="G113" s="21" t="str">
        <x:v>2026-08-12T10:09:03.613</x:v>
      </x:c>
      <x:c r="H113" s="36" t="n">
        <x:v>12618.587</x:v>
      </x:c>
      <x:c r="I113" s="36" t="n">
        <x:f>H113/1000</x:f>
        <x:v>12.618587</x:v>
      </x:c>
      <x:c r="J113" s="21" t="str">
        <x:v>data2/dsv4_2_aico.jsonl</x:v>
      </x:c>
      <x:c r="K113" s="21" t="n">
        <x:v>59</x:v>
      </x:c>
      <x:c r="L113" s="21" t="str">
        <x:v>original精确文本</x:v>
      </x:c>
    </x:row>
    <x:row r="114">
      <x:c r="A114" s="38" t="n">
        <x:v>10</x:v>
      </x:c>
      <x:c r="B114" s="23" t="str">
        <x:v>确认一下CBN-福州晋安-东浦新村4号楼C-HRHH-512、CBN-福州晋安-东浦新村4号楼C-HRHH-514和深圳大梅沙D-HRH-3这三个小区的站点名称、小区标识和电子下倾角。</x:v>
      </x:c>
      <x:c r="C114" s="23" t="str">
        <x:v>查询小区 CBN-福州晋安-东浦新村4号楼C-HRHH-512、CBN-福州晋安-东浦新村4号楼C-HRHH-514 和 深圳大梅沙D-HRH-3 的站点名称、小区标识和电子下倾角</x:v>
      </x:c>
      <x:c r="D114" s="23" t="str">
        <x:v>问题推荐</x:v>
      </x:c>
      <x:c r="E114" s="23" t="str">
        <x:v>后续问题推荐</x:v>
      </x:c>
      <x:c r="F114" s="21" t="n">
        <x:v>1</x:v>
      </x:c>
      <x:c r="G114" s="21" t="str">
        <x:v>2026-08-12T10:09:16.546</x:v>
      </x:c>
      <x:c r="H114" s="36" t="n">
        <x:v>11707.777</x:v>
      </x:c>
      <x:c r="I114" s="36" t="n">
        <x:f>H114/1000</x:f>
        <x:v>11.707777</x:v>
      </x:c>
      <x:c r="J114" s="21" t="str">
        <x:v>data2/dsv4_2_recipe_ds.jsonl</x:v>
      </x:c>
      <x:c r="K114" s="21" t="n">
        <x:v>26</x:v>
      </x:c>
      <x:c r="L114" s="21" t="str">
        <x:v>original精确文本</x:v>
      </x:c>
    </x:row>
    <x:row r="115">
      <x:c r="A115" s="38" t="n">
        <x:v>11</x:v>
      </x:c>
      <x:c r="B115" s="23" t="str">
        <x:v>帮我查一下CBN-深圳大梅沙U-H5H站点下5G小区的小区名称、基站标识和方位角。</x:v>
      </x:c>
      <x:c r="C115" s="23" t="str">
        <x:v>查询CBN-深圳大梅沙U-H5H站点下5G小区的小区名称、基站标识和方位角</x:v>
      </x:c>
      <x:c r="D115" s="23" t="str">
        <x:v>AICO Tool Call - Skill</x:v>
      </x:c>
      <x:c r="E115" s="23" t="str">
        <x:v>Skill</x:v>
      </x:c>
      <x:c r="F115" s="21" t="n">
        <x:v>1</x:v>
      </x:c>
      <x:c r="G115" s="21" t="str">
        <x:v>2026-08-12T10:09:17.480</x:v>
      </x:c>
      <x:c r="H115" s="36" t="n">
        <x:v>11102.282</x:v>
      </x:c>
      <x:c r="I115" s="36" t="n">
        <x:f>H115/1000</x:f>
        <x:v>11.102281999999999</x:v>
      </x:c>
      <x:c r="J115" s="21" t="str">
        <x:v>data2/dsv4_2_aico.jsonl</x:v>
      </x:c>
      <x:c r="K115" s="21" t="n">
        <x:v>60</x:v>
      </x:c>
      <x:c r="L115" s="21" t="str">
        <x:v>original精确文本</x:v>
      </x:c>
    </x:row>
    <x:row r="116">
      <x:c r="A116" s="38" t="n">
        <x:v>11</x:v>
      </x:c>
      <x:c r="B116" s="23" t="str">
        <x:v>帮我查一下CBN-深圳大梅沙U-H5H站点下5G小区的小区名称、基站标识和方位角。</x:v>
      </x:c>
      <x:c r="C116" s="23" t="str">
        <x:v>查询CBN-深圳大梅沙U-H5H站点下5G小区的小区名称、基站标识和方位角</x:v>
      </x:c>
      <x:c r="D116" s="23" t="str">
        <x:v>AICO Tool Call - Workflow</x:v>
      </x:c>
      <x:c r="E116" s="23" t="str">
        <x:v>Workflow</x:v>
      </x:c>
      <x:c r="F116" s="21" t="n">
        <x:v>1</x:v>
      </x:c>
      <x:c r="G116" s="21" t="str">
        <x:v>2026-08-12T10:09:28.766</x:v>
      </x:c>
      <x:c r="H116" s="36" t="n">
        <x:v>5205.833</x:v>
      </x:c>
      <x:c r="I116" s="36" t="n">
        <x:f>H116/1000</x:f>
        <x:v>5.205832999999999</x:v>
      </x:c>
      <x:c r="J116" s="21" t="str">
        <x:v>data2/dsv4_2_aico.jsonl</x:v>
      </x:c>
      <x:c r="K116" s="21" t="n">
        <x:v>61</x:v>
      </x:c>
      <x:c r="L116" s="21" t="str">
        <x:v>original精确文本</x:v>
      </x:c>
    </x:row>
    <x:row r="117">
      <x:c r="A117" s="38" t="n">
        <x:v>11</x:v>
      </x:c>
      <x:c r="B117" s="23" t="str">
        <x:v>帮我查一下CBN-深圳大梅沙U-H5H站点下5G小区的小区名称、基站标识和方位角。</x:v>
      </x:c>
      <x:c r="C117" s="23" t="str">
        <x:v>查询CBN-深圳大梅沙U-H5H站点下5G小区的小区名称、基站标识和方位角</x:v>
      </x:c>
      <x:c r="D117" s="23" t="str">
        <x:v>Recipe - DeepSeek</x:v>
      </x:c>
      <x:c r="E117" s="23" t="str">
        <x:v>DeepSeek recipe调用</x:v>
      </x:c>
      <x:c r="F117" s="21" t="n">
        <x:v>1</x:v>
      </x:c>
      <x:c r="G117" s="21" t="str">
        <x:v>2026-08-12T10:09:35.409</x:v>
      </x:c>
      <x:c r="H117" s="36" t="n">
        <x:v>3229.091</x:v>
      </x:c>
      <x:c r="I117" s="36" t="n">
        <x:f>H117/1000</x:f>
        <x:v>3.229091</x:v>
      </x:c>
      <x:c r="J117" s="21" t="str">
        <x:v>data2/dsv4_2_recipe_ds.jsonl</x:v>
      </x:c>
      <x:c r="K117" s="21" t="n">
        <x:v>27</x:v>
      </x:c>
      <x:c r="L117" s="21" t="str">
        <x:v>processed精确文本</x:v>
      </x:c>
    </x:row>
    <x:row r="118">
      <x:c r="A118" s="38" t="n">
        <x:v>11</x:v>
      </x:c>
      <x:c r="B118" s="23" t="str">
        <x:v>帮我查一下CBN-深圳大梅沙U-H5H站点下5G小区的小区名称、基站标识和方位角。</x:v>
      </x:c>
      <x:c r="C118" s="23" t="str">
        <x:v>查询CBN-深圳大梅沙U-H5H站点下5G小区的小区名称、基站标识和方位角</x:v>
      </x:c>
      <x:c r="D118" s="23" t="str">
        <x:v>Recipe - Qwen执行</x:v>
      </x:c>
      <x:c r="E118" s="23" t="str">
        <x:v>同一问题第1次Qwen调用</x:v>
      </x:c>
      <x:c r="F118" s="21" t="n">
        <x:v>1</x:v>
      </x:c>
      <x:c r="G118" s="21" t="str">
        <x:v>2026-08-12T10:09:38.972</x:v>
      </x:c>
      <x:c r="H118" s="36" t="n">
        <x:v>1348.486</x:v>
      </x:c>
      <x:c r="I118" s="36" t="n">
        <x:f>H118/1000</x:f>
        <x:v>1.348486</x:v>
      </x:c>
      <x:c r="J118" s="21" t="str">
        <x:v>data2/qwen3_2.jsonl</x:v>
      </x:c>
      <x:c r="K118" s="21" t="n">
        <x:v>29</x:v>
      </x:c>
      <x:c r="L118" s="21" t="str">
        <x:v>processed精确文本</x:v>
      </x:c>
    </x:row>
    <x:row r="119">
      <x:c r="A119" s="38" t="n">
        <x:v>11</x:v>
      </x:c>
      <x:c r="B119" s="23" t="str">
        <x:v>帮我查一下CBN-深圳大梅沙U-H5H站点下5G小区的小区名称、基站标识和方位角。</x:v>
      </x:c>
      <x:c r="C119" s="23" t="str">
        <x:v>查询CBN-深圳大梅沙U-H5H站点下5G小区的小区名称、基站标识和方位角</x:v>
      </x:c>
      <x:c r="D119" s="23" t="str">
        <x:v>Recipe - Qwen总结</x:v>
      </x:c>
      <x:c r="E119" s="23" t="str">
        <x:v>同一问题最后一次Qwen调用</x:v>
      </x:c>
      <x:c r="F119" s="21" t="n">
        <x:v>1</x:v>
      </x:c>
      <x:c r="G119" s="21" t="str">
        <x:v>2026-08-12T10:09:40.837</x:v>
      </x:c>
      <x:c r="H119" s="36" t="n">
        <x:v>2182.174</x:v>
      </x:c>
      <x:c r="I119" s="36" t="n">
        <x:f>H119/1000</x:f>
        <x:v>2.182174</x:v>
      </x:c>
      <x:c r="J119" s="21" t="str">
        <x:v>data2/qwen3_2.jsonl</x:v>
      </x:c>
      <x:c r="K119" s="21" t="n">
        <x:v>30</x:v>
      </x:c>
      <x:c r="L119" s="21" t="str">
        <x:v>processed精确文本</x:v>
      </x:c>
    </x:row>
    <x:row r="120">
      <x:c r="A120" s="38" t="n">
        <x:v>11</x:v>
      </x:c>
      <x:c r="B120" s="23" t="str">
        <x:v>帮我查一下CBN-深圳大梅沙U-H5H站点下5G小区的小区名称、基站标识和方位角。</x:v>
      </x:c>
      <x:c r="C120" s="23" t="str">
        <x:v>查询CBN-深圳大梅沙U-H5H站点下5G小区的小区名称、基站标识和方位角</x:v>
      </x:c>
      <x:c r="D120" s="23" t="str">
        <x:v>AICO总结</x:v>
      </x:c>
      <x:c r="E120" s="23" t="str">
        <x:v>无tool_calls</x:v>
      </x:c>
      <x:c r="F120" s="21" t="n">
        <x:v>1</x:v>
      </x:c>
      <x:c r="G120" s="21" t="str">
        <x:v>2026-08-12T10:09:43.284</x:v>
      </x:c>
      <x:c r="H120" s="36" t="n">
        <x:v>8956.989</x:v>
      </x:c>
      <x:c r="I120" s="36" t="n">
        <x:f>H120/1000</x:f>
        <x:v>8.956989</x:v>
      </x:c>
      <x:c r="J120" s="21" t="str">
        <x:v>data2/dsv4_2_aico.jsonl</x:v>
      </x:c>
      <x:c r="K120" s="21" t="n">
        <x:v>62</x:v>
      </x:c>
      <x:c r="L120" s="21" t="str">
        <x:v>original精确文本</x:v>
      </x:c>
    </x:row>
    <x:row r="121">
      <x:c r="A121" s="38" t="n">
        <x:v>11</x:v>
      </x:c>
      <x:c r="B121" s="23" t="str">
        <x:v>帮我查一下CBN-深圳大梅沙U-H5H站点下5G小区的小区名称、基站标识和方位角。</x:v>
      </x:c>
      <x:c r="C121" s="23" t="str">
        <x:v>查询CBN-深圳大梅沙U-H5H站点下5G小区的小区名称、基站标识和方位角</x:v>
      </x:c>
      <x:c r="D121" s="23" t="str">
        <x:v>问题推荐</x:v>
      </x:c>
      <x:c r="E121" s="23" t="str">
        <x:v>后续问题推荐</x:v>
      </x:c>
      <x:c r="F121" s="21" t="n">
        <x:v>1</x:v>
      </x:c>
      <x:c r="G121" s="21" t="str">
        <x:v>2026-08-12T10:09:52.648</x:v>
      </x:c>
      <x:c r="H121" s="36" t="n">
        <x:v>7811.618</x:v>
      </x:c>
      <x:c r="I121" s="36" t="n">
        <x:f>H121/1000</x:f>
        <x:v>7.811618</x:v>
      </x:c>
      <x:c r="J121" s="21" t="str">
        <x:v>data2/dsv4_2_recipe_ds.jsonl</x:v>
      </x:c>
      <x:c r="K121" s="21" t="n">
        <x:v>28</x:v>
      </x:c>
      <x:c r="L121" s="21" t="str">
        <x:v>original精确文本</x:v>
      </x:c>
    </x:row>
    <x:row r="122">
      <x:c r="A122" s="38" t="n">
        <x:v>12</x:v>
      </x:c>
      <x:c r="B122" s="23" t="str">
        <x:v>看一下深圳大梅沙二[深圳大梅沙二D-HRH]C-HRH-3这个NR小区的机械下倾角、电子下倾角和天线高度。</x:v>
      </x:c>
      <x:c r="C122" s="23" t="str">
        <x:v>查询深圳大梅沙二D-HRH（深圳大梅沙二D-HRH）C-HRH-3这个NR小区的机械下倾角、电子下倾角和天线高度</x:v>
      </x:c>
      <x:c r="D122" s="23" t="str">
        <x:v>AICO Tool Call - Skill</x:v>
      </x:c>
      <x:c r="E122" s="23" t="str">
        <x:v>Skill</x:v>
      </x:c>
      <x:c r="F122" s="21" t="n">
        <x:v>1</x:v>
      </x:c>
      <x:c r="G122" s="21" t="str">
        <x:v>2026-08-12T10:09:53.545</x:v>
      </x:c>
      <x:c r="H122" s="36" t="n">
        <x:v>8057.581</x:v>
      </x:c>
      <x:c r="I122" s="36" t="n">
        <x:f>H122/1000</x:f>
        <x:v>8.057581</x:v>
      </x:c>
      <x:c r="J122" s="21" t="str">
        <x:v>data2/dsv4_2_aico.jsonl</x:v>
      </x:c>
      <x:c r="K122" s="21" t="n">
        <x:v>63</x:v>
      </x:c>
      <x:c r="L122" s="21" t="str">
        <x:v>original精确文本</x:v>
      </x:c>
    </x:row>
    <x:row r="123">
      <x:c r="A123" s="38" t="n">
        <x:v>12</x:v>
      </x:c>
      <x:c r="B123" s="23" t="str">
        <x:v>看一下深圳大梅沙二[深圳大梅沙二D-HRH]C-HRH-3这个NR小区的机械下倾角、电子下倾角和天线高度。</x:v>
      </x:c>
      <x:c r="C123" s="23" t="str">
        <x:v>查询深圳大梅沙二D-HRH（深圳大梅沙二D-HRH）C-HRH-3这个NR小区的机械下倾角、电子下倾角和天线高度</x:v>
      </x:c>
      <x:c r="D123" s="23" t="str">
        <x:v>AICO Tool Call - Workflow</x:v>
      </x:c>
      <x:c r="E123" s="23" t="str">
        <x:v>Workflow</x:v>
      </x:c>
      <x:c r="F123" s="21" t="n">
        <x:v>1</x:v>
      </x:c>
      <x:c r="G123" s="21" t="str">
        <x:v>2026-08-12T10:10:01.785</x:v>
      </x:c>
      <x:c r="H123" s="36" t="n">
        <x:v>5571.723</x:v>
      </x:c>
      <x:c r="I123" s="36" t="n">
        <x:f>H123/1000</x:f>
        <x:v>5.5717229999999995</x:v>
      </x:c>
      <x:c r="J123" s="21" t="str">
        <x:v>data2/dsv4_2_aico.jsonl</x:v>
      </x:c>
      <x:c r="K123" s="21" t="n">
        <x:v>64</x:v>
      </x:c>
      <x:c r="L123" s="21" t="str">
        <x:v>original精确文本</x:v>
      </x:c>
    </x:row>
    <x:row r="124">
      <x:c r="A124" s="38" t="n">
        <x:v>12</x:v>
      </x:c>
      <x:c r="B124" s="23" t="str">
        <x:v>看一下深圳大梅沙二[深圳大梅沙二D-HRH]C-HRH-3这个NR小区的机械下倾角、电子下倾角和天线高度。</x:v>
      </x:c>
      <x:c r="C124" s="23" t="str">
        <x:v>查询深圳大梅沙二D-HRH（深圳大梅沙二D-HRH）C-HRH-3这个NR小区的机械下倾角、电子下倾角和天线高度</x:v>
      </x:c>
      <x:c r="D124" s="23" t="str">
        <x:v>Recipe - DeepSeek</x:v>
      </x:c>
      <x:c r="E124" s="23" t="str">
        <x:v>DeepSeek recipe调用</x:v>
      </x:c>
      <x:c r="F124" s="21" t="n">
        <x:v>1</x:v>
      </x:c>
      <x:c r="G124" s="21" t="str">
        <x:v>2026-08-12T10:10:08.882</x:v>
      </x:c>
      <x:c r="H124" s="36" t="n">
        <x:v>3431.466</x:v>
      </x:c>
      <x:c r="I124" s="36" t="n">
        <x:f>H124/1000</x:f>
        <x:v>3.431466</x:v>
      </x:c>
      <x:c r="J124" s="21" t="str">
        <x:v>data2/dsv4_2_recipe_ds.jsonl</x:v>
      </x:c>
      <x:c r="K124" s="21" t="n">
        <x:v>29</x:v>
      </x:c>
      <x:c r="L124" s="21" t="str">
        <x:v>processed精确文本</x:v>
      </x:c>
    </x:row>
    <x:row r="125">
      <x:c r="A125" s="38" t="n">
        <x:v>12</x:v>
      </x:c>
      <x:c r="B125" s="23" t="str">
        <x:v>看一下深圳大梅沙二[深圳大梅沙二D-HRH]C-HRH-3这个NR小区的机械下倾角、电子下倾角和天线高度。</x:v>
      </x:c>
      <x:c r="C125" s="23" t="str">
        <x:v>查询深圳大梅沙二D-HRH（深圳大梅沙二D-HRH）C-HRH-3这个NR小区的机械下倾角、电子下倾角和天线高度</x:v>
      </x:c>
      <x:c r="D125" s="23" t="str">
        <x:v>Recipe - Qwen执行</x:v>
      </x:c>
      <x:c r="E125" s="23" t="str">
        <x:v>同一问题第1次Qwen调用</x:v>
      </x:c>
      <x:c r="F125" s="21" t="n">
        <x:v>1</x:v>
      </x:c>
      <x:c r="G125" s="21" t="str">
        <x:v>2026-08-12T10:10:12.654</x:v>
      </x:c>
      <x:c r="H125" s="36" t="n">
        <x:v>1439.215</x:v>
      </x:c>
      <x:c r="I125" s="36" t="n">
        <x:f>H125/1000</x:f>
        <x:v>1.439215</x:v>
      </x:c>
      <x:c r="J125" s="21" t="str">
        <x:v>data2/qwen3_2.jsonl</x:v>
      </x:c>
      <x:c r="K125" s="21" t="n">
        <x:v>31</x:v>
      </x:c>
      <x:c r="L125" s="21" t="str">
        <x:v>processed精确文本</x:v>
      </x:c>
    </x:row>
    <x:row r="126">
      <x:c r="A126" s="38" t="n">
        <x:v>12</x:v>
      </x:c>
      <x:c r="B126" s="23" t="str">
        <x:v>看一下深圳大梅沙二[深圳大梅沙二D-HRH]C-HRH-3这个NR小区的机械下倾角、电子下倾角和天线高度。</x:v>
      </x:c>
      <x:c r="C126" s="23" t="str">
        <x:v>查询深圳大梅沙二D-HRH（深圳大梅沙二D-HRH）C-HRH-3这个NR小区的机械下倾角、电子下倾角和天线高度</x:v>
      </x:c>
      <x:c r="D126" s="23" t="str">
        <x:v>Recipe - Qwen执行</x:v>
      </x:c>
      <x:c r="E126" s="23" t="str">
        <x:v>同一问题第2次Qwen调用</x:v>
      </x:c>
      <x:c r="F126" s="21" t="n">
        <x:v>2</x:v>
      </x:c>
      <x:c r="G126" s="21" t="str">
        <x:v>2026-08-12T10:10:14.623</x:v>
      </x:c>
      <x:c r="H126" s="36" t="n">
        <x:v>1592.141</x:v>
      </x:c>
      <x:c r="I126" s="36" t="n">
        <x:f>H126/1000</x:f>
        <x:v>1.592141</x:v>
      </x:c>
      <x:c r="J126" s="21" t="str">
        <x:v>data2/qwen3_2.jsonl</x:v>
      </x:c>
      <x:c r="K126" s="21" t="n">
        <x:v>32</x:v>
      </x:c>
      <x:c r="L126" s="21" t="str">
        <x:v>processed精确文本</x:v>
      </x:c>
    </x:row>
    <x:row r="127">
      <x:c r="A127" s="38" t="n">
        <x:v>12</x:v>
      </x:c>
      <x:c r="B127" s="23" t="str">
        <x:v>看一下深圳大梅沙二[深圳大梅沙二D-HRH]C-HRH-3这个NR小区的机械下倾角、电子下倾角和天线高度。</x:v>
      </x:c>
      <x:c r="C127" s="23" t="str">
        <x:v>查询深圳大梅沙二D-HRH（深圳大梅沙二D-HRH）C-HRH-3这个NR小区的机械下倾角、电子下倾角和天线高度</x:v>
      </x:c>
      <x:c r="D127" s="23" t="str">
        <x:v>AICO Tool Call - Workflow</x:v>
      </x:c>
      <x:c r="E127" s="23" t="str">
        <x:v>Workflow</x:v>
      </x:c>
      <x:c r="F127" s="21" t="n">
        <x:v>2</x:v>
      </x:c>
      <x:c r="G127" s="21" t="str">
        <x:v>2026-08-12T10:10:16.479</x:v>
      </x:c>
      <x:c r="H127" s="36" t="n">
        <x:v>6065.158</x:v>
      </x:c>
      <x:c r="I127" s="36" t="n">
        <x:f>H127/1000</x:f>
        <x:v>6.065158</x:v>
      </x:c>
      <x:c r="J127" s="21" t="str">
        <x:v>data2/dsv4_2_aico.jsonl</x:v>
      </x:c>
      <x:c r="K127" s="21" t="n">
        <x:v>65</x:v>
      </x:c>
      <x:c r="L127" s="21" t="str">
        <x:v>original精确文本</x:v>
      </x:c>
    </x:row>
    <x:row r="128">
      <x:c r="A128" s="38" t="n">
        <x:v>12</x:v>
      </x:c>
      <x:c r="B128" s="23" t="str">
        <x:v>看一下深圳大梅沙二[深圳大梅沙二D-HRH]C-HRH-3这个NR小区的机械下倾角、电子下倾角和天线高度。</x:v>
      </x:c>
      <x:c r="C128" s="23" t="str">
        <x:v>查询深圳大梅沙二D-HRH（深圳大梅沙二D-HRH）C-HRH-3这个NR小区的机械下倾角、电子下倾角和天线高度</x:v>
      </x:c>
      <x:c r="D128" s="23" t="str">
        <x:v>Recipe - DeepSeek</x:v>
      </x:c>
      <x:c r="E128" s="23" t="str">
        <x:v>DeepSeek recipe调用</x:v>
      </x:c>
      <x:c r="F128" s="21" t="n">
        <x:v>2</x:v>
      </x:c>
      <x:c r="G128" s="21" t="str">
        <x:v>2026-08-12T10:10:23.928</x:v>
      </x:c>
      <x:c r="H128" s="36" t="n">
        <x:v>3463.639</x:v>
      </x:c>
      <x:c r="I128" s="36" t="n">
        <x:f>H128/1000</x:f>
        <x:v>3.463639</x:v>
      </x:c>
      <x:c r="J128" s="21" t="str">
        <x:v>data2/dsv4_2_recipe_ds.jsonl</x:v>
      </x:c>
      <x:c r="K128" s="21" t="n">
        <x:v>30</x:v>
      </x:c>
      <x:c r="L128" s="21" t="str">
        <x:v>时间顺序回退</x:v>
      </x:c>
    </x:row>
    <x:row r="129">
      <x:c r="A129" s="38" t="n">
        <x:v>12</x:v>
      </x:c>
      <x:c r="B129" s="23" t="str">
        <x:v>看一下深圳大梅沙二[深圳大梅沙二D-HRH]C-HRH-3这个NR小区的机械下倾角、电子下倾角和天线高度。</x:v>
      </x:c>
      <x:c r="C129" s="23" t="str">
        <x:v>查询深圳大梅沙二D-HRH（深圳大梅沙二D-HRH）C-HRH-3这个NR小区的机械下倾角、电子下倾角和天线高度</x:v>
      </x:c>
      <x:c r="D129" s="23" t="str">
        <x:v>Recipe - Qwen执行</x:v>
      </x:c>
      <x:c r="E129" s="23" t="str">
        <x:v>同一问题第3次Qwen调用</x:v>
      </x:c>
      <x:c r="F129" s="21" t="n">
        <x:v>3</x:v>
      </x:c>
      <x:c r="G129" s="21" t="str">
        <x:v>2026-08-12T10:10:27.729</x:v>
      </x:c>
      <x:c r="H129" s="36" t="n">
        <x:v>1349.764</x:v>
      </x:c>
      <x:c r="I129" s="36" t="n">
        <x:f>H129/1000</x:f>
        <x:v>1.349764</x:v>
      </x:c>
      <x:c r="J129" s="21" t="str">
        <x:v>data2/qwen3_2.jsonl</x:v>
      </x:c>
      <x:c r="K129" s="21" t="n">
        <x:v>33</x:v>
      </x:c>
      <x:c r="L129" s="21" t="str">
        <x:v>时间顺序回退</x:v>
      </x:c>
    </x:row>
    <x:row r="130">
      <x:c r="A130" s="38" t="n">
        <x:v>12</x:v>
      </x:c>
      <x:c r="B130" s="23" t="str">
        <x:v>看一下深圳大梅沙二[深圳大梅沙二D-HRH]C-HRH-3这个NR小区的机械下倾角、电子下倾角和天线高度。</x:v>
      </x:c>
      <x:c r="C130" s="23" t="str">
        <x:v>查询深圳大梅沙二D-HRH（深圳大梅沙二D-HRH）C-HRH-3这个NR小区的机械下倾角、电子下倾角和天线高度</x:v>
      </x:c>
      <x:c r="D130" s="23" t="str">
        <x:v>Recipe - Qwen执行</x:v>
      </x:c>
      <x:c r="E130" s="23" t="str">
        <x:v>同一问题第4次Qwen调用</x:v>
      </x:c>
      <x:c r="F130" s="21" t="n">
        <x:v>4</x:v>
      </x:c>
      <x:c r="G130" s="21" t="str">
        <x:v>2026-08-12T10:10:29.587</x:v>
      </x:c>
      <x:c r="H130" s="36" t="n">
        <x:v>1663.924</x:v>
      </x:c>
      <x:c r="I130" s="36" t="n">
        <x:f>H130/1000</x:f>
        <x:v>1.663924</x:v>
      </x:c>
      <x:c r="J130" s="21" t="str">
        <x:v>data2/qwen3_2.jsonl</x:v>
      </x:c>
      <x:c r="K130" s="21" t="n">
        <x:v>34</x:v>
      </x:c>
      <x:c r="L130" s="21" t="str">
        <x:v>时间顺序回退</x:v>
      </x:c>
    </x:row>
    <x:row r="131">
      <x:c r="A131" s="38" t="n">
        <x:v>12</x:v>
      </x:c>
      <x:c r="B131" s="23" t="str">
        <x:v>看一下深圳大梅沙二[深圳大梅沙二D-HRH]C-HRH-3这个NR小区的机械下倾角、电子下倾角和天线高度。</x:v>
      </x:c>
      <x:c r="C131" s="23" t="str">
        <x:v>查询深圳大梅沙二D-HRH（深圳大梅沙二D-HRH）C-HRH-3这个NR小区的机械下倾角、电子下倾角和天线高度</x:v>
      </x:c>
      <x:c r="D131" s="23" t="str">
        <x:v>AICO Tool Call - Workflow</x:v>
      </x:c>
      <x:c r="E131" s="23" t="str">
        <x:v>Workflow</x:v>
      </x:c>
      <x:c r="F131" s="21" t="n">
        <x:v>3</x:v>
      </x:c>
      <x:c r="G131" s="21" t="str">
        <x:v>2026-08-12T10:10:31.524</x:v>
      </x:c>
      <x:c r="H131" s="36" t="n">
        <x:v>6419.511</x:v>
      </x:c>
      <x:c r="I131" s="36" t="n">
        <x:f>H131/1000</x:f>
        <x:v>6.419511000000001</x:v>
      </x:c>
      <x:c r="J131" s="21" t="str">
        <x:v>data2/dsv4_2_aico.jsonl</x:v>
      </x:c>
      <x:c r="K131" s="21" t="n">
        <x:v>66</x:v>
      </x:c>
      <x:c r="L131" s="21" t="str">
        <x:v>original精确文本</x:v>
      </x:c>
    </x:row>
    <x:row r="132">
      <x:c r="A132" s="38" t="n">
        <x:v>12</x:v>
      </x:c>
      <x:c r="B132" s="23" t="str">
        <x:v>看一下深圳大梅沙二[深圳大梅沙二D-HRH]C-HRH-3这个NR小区的机械下倾角、电子下倾角和天线高度。</x:v>
      </x:c>
      <x:c r="C132" s="23" t="str">
        <x:v>查询深圳大梅沙二D-HRH（深圳大梅沙二D-HRH）C-HRH-3这个NR小区的机械下倾角、电子下倾角和天线高度</x:v>
      </x:c>
      <x:c r="D132" s="23" t="str">
        <x:v>Recipe - DeepSeek</x:v>
      </x:c>
      <x:c r="E132" s="23" t="str">
        <x:v>DeepSeek recipe调用</x:v>
      </x:c>
      <x:c r="F132" s="21" t="n">
        <x:v>3</x:v>
      </x:c>
      <x:c r="G132" s="21" t="str">
        <x:v>2026-08-12T10:10:39.390</x:v>
      </x:c>
      <x:c r="H132" s="36" t="n">
        <x:v>3579.477</x:v>
      </x:c>
      <x:c r="I132" s="36" t="n">
        <x:f>H132/1000</x:f>
        <x:v>3.579477</x:v>
      </x:c>
      <x:c r="J132" s="21" t="str">
        <x:v>data2/dsv4_2_recipe_ds.jsonl</x:v>
      </x:c>
      <x:c r="K132" s="21" t="n">
        <x:v>31</x:v>
      </x:c>
      <x:c r="L132" s="21" t="str">
        <x:v>时间顺序回退</x:v>
      </x:c>
    </x:row>
    <x:row r="133">
      <x:c r="A133" s="38" t="n">
        <x:v>12</x:v>
      </x:c>
      <x:c r="B133" s="23" t="str">
        <x:v>看一下深圳大梅沙二[深圳大梅沙二D-HRH]C-HRH-3这个NR小区的机械下倾角、电子下倾角和天线高度。</x:v>
      </x:c>
      <x:c r="C133" s="23" t="str">
        <x:v>查询深圳大梅沙二D-HRH（深圳大梅沙二D-HRH）C-HRH-3这个NR小区的机械下倾角、电子下倾角和天线高度</x:v>
      </x:c>
      <x:c r="D133" s="23" t="str">
        <x:v>Recipe - Qwen执行</x:v>
      </x:c>
      <x:c r="E133" s="23" t="str">
        <x:v>同一问题第5次Qwen调用</x:v>
      </x:c>
      <x:c r="F133" s="21" t="n">
        <x:v>5</x:v>
      </x:c>
      <x:c r="G133" s="21" t="str">
        <x:v>2026-08-12T10:10:43.309</x:v>
      </x:c>
      <x:c r="H133" s="36" t="n">
        <x:v>1269.454</x:v>
      </x:c>
      <x:c r="I133" s="36" t="n">
        <x:f>H133/1000</x:f>
        <x:v>1.2694539999999999</x:v>
      </x:c>
      <x:c r="J133" s="21" t="str">
        <x:v>data2/qwen3_2.jsonl</x:v>
      </x:c>
      <x:c r="K133" s="21" t="n">
        <x:v>35</x:v>
      </x:c>
      <x:c r="L133" s="21" t="str">
        <x:v>时间顺序回退</x:v>
      </x:c>
    </x:row>
    <x:row r="134">
      <x:c r="A134" s="38" t="n">
        <x:v>12</x:v>
      </x:c>
      <x:c r="B134" s="23" t="str">
        <x:v>看一下深圳大梅沙二[深圳大梅沙二D-HRH]C-HRH-3这个NR小区的机械下倾角、电子下倾角和天线高度。</x:v>
      </x:c>
      <x:c r="C134" s="23" t="str">
        <x:v>查询深圳大梅沙二D-HRH（深圳大梅沙二D-HRH）C-HRH-3这个NR小区的机械下倾角、电子下倾角和天线高度</x:v>
      </x:c>
      <x:c r="D134" s="23" t="str">
        <x:v>Recipe - Qwen执行</x:v>
      </x:c>
      <x:c r="E134" s="23" t="str">
        <x:v>同一问题第6次Qwen调用</x:v>
      </x:c>
      <x:c r="F134" s="21" t="n">
        <x:v>6</x:v>
      </x:c>
      <x:c r="G134" s="21" t="str">
        <x:v>2026-08-12T10:10:45.041</x:v>
      </x:c>
      <x:c r="H134" s="36" t="n">
        <x:v>1745.116</x:v>
      </x:c>
      <x:c r="I134" s="36" t="n">
        <x:f>H134/1000</x:f>
        <x:v>1.745116</x:v>
      </x:c>
      <x:c r="J134" s="21" t="str">
        <x:v>data2/qwen3_2.jsonl</x:v>
      </x:c>
      <x:c r="K134" s="21" t="n">
        <x:v>36</x:v>
      </x:c>
      <x:c r="L134" s="21" t="str">
        <x:v>时间顺序回退</x:v>
      </x:c>
    </x:row>
    <x:row r="135">
      <x:c r="A135" s="38" t="n">
        <x:v>12</x:v>
      </x:c>
      <x:c r="B135" s="23" t="str">
        <x:v>看一下深圳大梅沙二[深圳大梅沙二D-HRH]C-HRH-3这个NR小区的机械下倾角、电子下倾角和天线高度。</x:v>
      </x:c>
      <x:c r="C135" s="23" t="str">
        <x:v>查询深圳大梅沙二D-HRH（深圳大梅沙二D-HRH）C-HRH-3这个NR小区的机械下倾角、电子下倾角和天线高度</x:v>
      </x:c>
      <x:c r="D135" s="23" t="str">
        <x:v>Recipe - Qwen执行</x:v>
      </x:c>
      <x:c r="E135" s="23" t="str">
        <x:v>同一问题第7次Qwen调用</x:v>
      </x:c>
      <x:c r="F135" s="21" t="n">
        <x:v>7</x:v>
      </x:c>
      <x:c r="G135" s="21" t="str">
        <x:v>2026-08-12T10:10:47.320</x:v>
      </x:c>
      <x:c r="H135" s="36" t="n">
        <x:v>1745.553</x:v>
      </x:c>
      <x:c r="I135" s="36" t="n">
        <x:f>H135/1000</x:f>
        <x:v>1.7455530000000001</x:v>
      </x:c>
      <x:c r="J135" s="21" t="str">
        <x:v>data2/qwen3_2.jsonl</x:v>
      </x:c>
      <x:c r="K135" s="21" t="n">
        <x:v>37</x:v>
      </x:c>
      <x:c r="L135" s="21" t="str">
        <x:v>时间顺序回退</x:v>
      </x:c>
    </x:row>
    <x:row r="136">
      <x:c r="A136" s="38" t="n">
        <x:v>12</x:v>
      </x:c>
      <x:c r="B136" s="23" t="str">
        <x:v>看一下深圳大梅沙二[深圳大梅沙二D-HRH]C-HRH-3这个NR小区的机械下倾角、电子下倾角和天线高度。</x:v>
      </x:c>
      <x:c r="C136" s="23" t="str">
        <x:v>查询深圳大梅沙二D-HRH（深圳大梅沙二D-HRH）C-HRH-3这个NR小区的机械下倾角、电子下倾角和天线高度</x:v>
      </x:c>
      <x:c r="D136" s="23" t="str">
        <x:v>Recipe - Qwen总结</x:v>
      </x:c>
      <x:c r="E136" s="23" t="str">
        <x:v>同一问题最后一次Qwen调用</x:v>
      </x:c>
      <x:c r="F136" s="21" t="n">
        <x:v>1</x:v>
      </x:c>
      <x:c r="G136" s="21" t="str">
        <x:v>2026-08-12T10:10:49.649</x:v>
      </x:c>
      <x:c r="H136" s="36" t="n">
        <x:v>2070.578</x:v>
      </x:c>
      <x:c r="I136" s="36" t="n">
        <x:f>H136/1000</x:f>
        <x:v>2.070578</x:v>
      </x:c>
      <x:c r="J136" s="21" t="str">
        <x:v>data2/qwen3_2.jsonl</x:v>
      </x:c>
      <x:c r="K136" s="21" t="n">
        <x:v>38</x:v>
      </x:c>
      <x:c r="L136" s="21" t="str">
        <x:v>时间顺序回退</x:v>
      </x:c>
    </x:row>
    <x:row r="137">
      <x:c r="A137" s="38" t="n">
        <x:v>12</x:v>
      </x:c>
      <x:c r="B137" s="23" t="str">
        <x:v>看一下深圳大梅沙二[深圳大梅沙二D-HRH]C-HRH-3这个NR小区的机械下倾角、电子下倾角和天线高度。</x:v>
      </x:c>
      <x:c r="C137" s="23" t="str">
        <x:v>查询深圳大梅沙二D-HRH（深圳大梅沙二D-HRH）C-HRH-3这个NR小区的机械下倾角、电子下倾角和天线高度</x:v>
      </x:c>
      <x:c r="D137" s="23" t="str">
        <x:v>AICO总结</x:v>
      </x:c>
      <x:c r="E137" s="23" t="str">
        <x:v>无tool_calls</x:v>
      </x:c>
      <x:c r="F137" s="21" t="n">
        <x:v>1</x:v>
      </x:c>
      <x:c r="G137" s="21" t="str">
        <x:v>2026-08-12T10:10:52.014</x:v>
      </x:c>
      <x:c r="H137" s="36" t="n">
        <x:v>7503.838</x:v>
      </x:c>
      <x:c r="I137" s="36" t="n">
        <x:f>H137/1000</x:f>
        <x:v>7.503838</x:v>
      </x:c>
      <x:c r="J137" s="21" t="str">
        <x:v>data2/dsv4_2_aico.jsonl</x:v>
      </x:c>
      <x:c r="K137" s="21" t="n">
        <x:v>67</x:v>
      </x:c>
      <x:c r="L137" s="21" t="str">
        <x:v>original精确文本</x:v>
      </x:c>
    </x:row>
    <x:row r="138">
      <x:c r="A138" s="38" t="n">
        <x:v>12</x:v>
      </x:c>
      <x:c r="B138" s="23" t="str">
        <x:v>看一下深圳大梅沙二[深圳大梅沙二D-HRH]C-HRH-3这个NR小区的机械下倾角、电子下倾角和天线高度。</x:v>
      </x:c>
      <x:c r="C138" s="23" t="str">
        <x:v>查询深圳大梅沙二D-HRH（深圳大梅沙二D-HRH）C-HRH-3这个NR小区的机械下倾角、电子下倾角和天线高度</x:v>
      </x:c>
      <x:c r="D138" s="23" t="str">
        <x:v>问题推荐</x:v>
      </x:c>
      <x:c r="E138" s="23" t="str">
        <x:v>后续问题推荐</x:v>
      </x:c>
      <x:c r="F138" s="21" t="n">
        <x:v>1</x:v>
      </x:c>
      <x:c r="G138" s="21" t="str">
        <x:v>2026-08-12T10:10:59.855</x:v>
      </x:c>
      <x:c r="H138" s="36" t="n">
        <x:v>5894.728</x:v>
      </x:c>
      <x:c r="I138" s="36" t="n">
        <x:f>H138/1000</x:f>
        <x:v>5.894728</x:v>
      </x:c>
      <x:c r="J138" s="21" t="str">
        <x:v>data2/dsv4_2_recipe_ds.jsonl</x:v>
      </x:c>
      <x:c r="K138" s="21" t="n">
        <x:v>32</x:v>
      </x:c>
      <x:c r="L138" s="21" t="str">
        <x:v>original精确文本</x:v>
      </x:c>
    </x:row>
    <x:row r="139">
      <x:c r="A139" s="38" t="n">
        <x:v>13</x:v>
      </x:c>
      <x:c r="B139" s="23" t="str">
        <x:v>查询CBN-福州晋安-站东路三环北路交叉西C-HRRH和深圳东海岸三D-HRH这两个站点下5G小区的纬度、经度和设备厂商。</x:v>
      </x:c>
      <x:c r="C139" s="23" t="str">
        <x:v>查询站点CBN-福州晋安-站东路三环北路交叉西C-HRRH和深圳东海岸三D-HRH下5G小区的纬度、经度和设备厂商</x:v>
      </x:c>
      <x:c r="D139" s="23" t="str">
        <x:v>AICO Tool Call - Skill</x:v>
      </x:c>
      <x:c r="E139" s="23" t="str">
        <x:v>Skill</x:v>
      </x:c>
      <x:c r="F139" s="21" t="n">
        <x:v>1</x:v>
      </x:c>
      <x:c r="G139" s="21" t="str">
        <x:v>2026-08-12T10:11:00.859</x:v>
      </x:c>
      <x:c r="H139" s="36" t="n">
        <x:v>5789.137</x:v>
      </x:c>
      <x:c r="I139" s="36" t="n">
        <x:f>H139/1000</x:f>
        <x:v>5.789136999999999</x:v>
      </x:c>
      <x:c r="J139" s="21" t="str">
        <x:v>data2/dsv4_2_aico.jsonl</x:v>
      </x:c>
      <x:c r="K139" s="21" t="n">
        <x:v>68</x:v>
      </x:c>
      <x:c r="L139" s="21" t="str">
        <x:v>original精确文本</x:v>
      </x:c>
    </x:row>
    <x:row r="140">
      <x:c r="A140" s="38" t="n">
        <x:v>13</x:v>
      </x:c>
      <x:c r="B140" s="23" t="str">
        <x:v>查询CBN-福州晋安-站东路三环北路交叉西C-HRRH和深圳东海岸三D-HRH这两个站点下5G小区的纬度、经度和设备厂商。</x:v>
      </x:c>
      <x:c r="C140" s="23" t="str">
        <x:v>查询站点CBN-福州晋安-站东路三环北路交叉西C-HRRH和深圳东海岸三D-HRH下5G小区的纬度、经度和设备厂商</x:v>
      </x:c>
      <x:c r="D140" s="23" t="str">
        <x:v>AICO Tool Call - Workflow</x:v>
      </x:c>
      <x:c r="E140" s="23" t="str">
        <x:v>Workflow</x:v>
      </x:c>
      <x:c r="F140" s="21" t="n">
        <x:v>1</x:v>
      </x:c>
      <x:c r="G140" s="21" t="str">
        <x:v>2026-08-12T10:11:06.831</x:v>
      </x:c>
      <x:c r="H140" s="36" t="n">
        <x:v>5628.341</x:v>
      </x:c>
      <x:c r="I140" s="36" t="n">
        <x:f>H140/1000</x:f>
        <x:v>5.628341000000001</x:v>
      </x:c>
      <x:c r="J140" s="21" t="str">
        <x:v>data2/dsv4_2_aico.jsonl</x:v>
      </x:c>
      <x:c r="K140" s="21" t="n">
        <x:v>69</x:v>
      </x:c>
      <x:c r="L140" s="21" t="str">
        <x:v>original精确文本</x:v>
      </x:c>
    </x:row>
    <x:row r="141">
      <x:c r="A141" s="38" t="n">
        <x:v>13</x:v>
      </x:c>
      <x:c r="B141" s="23" t="str">
        <x:v>查询CBN-福州晋安-站东路三环北路交叉西C-HRRH和深圳东海岸三D-HRH这两个站点下5G小区的纬度、经度和设备厂商。</x:v>
      </x:c>
      <x:c r="C141" s="23" t="str">
        <x:v>查询站点CBN-福州晋安-站东路三环北路交叉西C-HRRH和深圳东海岸三D-HRH下5G小区的纬度、经度和设备厂商</x:v>
      </x:c>
      <x:c r="D141" s="23" t="str">
        <x:v>Recipe - DeepSeek</x:v>
      </x:c>
      <x:c r="E141" s="23" t="str">
        <x:v>DeepSeek recipe调用</x:v>
      </x:c>
      <x:c r="F141" s="21" t="n">
        <x:v>1</x:v>
      </x:c>
      <x:c r="G141" s="21" t="str">
        <x:v>2026-08-12T10:11:13.816</x:v>
      </x:c>
      <x:c r="H141" s="36" t="n">
        <x:v>4447.53</x:v>
      </x:c>
      <x:c r="I141" s="36" t="n">
        <x:f>H141/1000</x:f>
        <x:v>4.4475299999999995</x:v>
      </x:c>
      <x:c r="J141" s="21" t="str">
        <x:v>data2/dsv4_2_recipe_ds.jsonl</x:v>
      </x:c>
      <x:c r="K141" s="21" t="n">
        <x:v>33</x:v>
      </x:c>
      <x:c r="L141" s="21" t="str">
        <x:v>processed精确文本</x:v>
      </x:c>
    </x:row>
    <x:row r="142">
      <x:c r="A142" s="38" t="n">
        <x:v>13</x:v>
      </x:c>
      <x:c r="B142" s="23" t="str">
        <x:v>查询CBN-福州晋安-站东路三环北路交叉西C-HRRH和深圳东海岸三D-HRH这两个站点下5G小区的纬度、经度和设备厂商。</x:v>
      </x:c>
      <x:c r="C142" s="23" t="str">
        <x:v>查询站点CBN-福州晋安-站东路三环北路交叉西C-HRRH和深圳东海岸三D-HRH下5G小区的纬度、经度和设备厂商</x:v>
      </x:c>
      <x:c r="D142" s="23" t="str">
        <x:v>Recipe - Qwen执行</x:v>
      </x:c>
      <x:c r="E142" s="23" t="str">
        <x:v>同一问题第1次Qwen调用</x:v>
      </x:c>
      <x:c r="F142" s="21" t="n">
        <x:v>1</x:v>
      </x:c>
      <x:c r="G142" s="21" t="str">
        <x:v>2026-08-12T10:11:18.600</x:v>
      </x:c>
      <x:c r="H142" s="36" t="n">
        <x:v>1568.47</x:v>
      </x:c>
      <x:c r="I142" s="36" t="n">
        <x:f>H142/1000</x:f>
        <x:v>1.56847</x:v>
      </x:c>
      <x:c r="J142" s="21" t="str">
        <x:v>data2/qwen3_2.jsonl</x:v>
      </x:c>
      <x:c r="K142" s="21" t="n">
        <x:v>39</x:v>
      </x:c>
      <x:c r="L142" s="21" t="str">
        <x:v>processed精确文本</x:v>
      </x:c>
    </x:row>
    <x:row r="143">
      <x:c r="A143" s="38" t="n">
        <x:v>13</x:v>
      </x:c>
      <x:c r="B143" s="23" t="str">
        <x:v>查询CBN-福州晋安-站东路三环北路交叉西C-HRRH和深圳东海岸三D-HRH这两个站点下5G小区的纬度、经度和设备厂商。</x:v>
      </x:c>
      <x:c r="C143" s="23" t="str">
        <x:v>查询站点CBN-福州晋安-站东路三环北路交叉西C-HRRH和深圳东海岸三D-HRH下5G小区的纬度、经度和设备厂商</x:v>
      </x:c>
      <x:c r="D143" s="23" t="str">
        <x:v>Recipe - Qwen执行</x:v>
      </x:c>
      <x:c r="E143" s="23" t="str">
        <x:v>同一问题第2次Qwen调用</x:v>
      </x:c>
      <x:c r="F143" s="21" t="n">
        <x:v>2</x:v>
      </x:c>
      <x:c r="G143" s="21" t="str">
        <x:v>2026-08-12T10:11:20.655</x:v>
      </x:c>
      <x:c r="H143" s="36" t="n">
        <x:v>1701.071</x:v>
      </x:c>
      <x:c r="I143" s="36" t="n">
        <x:f>H143/1000</x:f>
        <x:v>1.701071</x:v>
      </x:c>
      <x:c r="J143" s="21" t="str">
        <x:v>data2/qwen3_2.jsonl</x:v>
      </x:c>
      <x:c r="K143" s="21" t="n">
        <x:v>40</x:v>
      </x:c>
      <x:c r="L143" s="21" t="str">
        <x:v>processed精确文本</x:v>
      </x:c>
    </x:row>
    <x:row r="144">
      <x:c r="A144" s="38" t="n">
        <x:v>13</x:v>
      </x:c>
      <x:c r="B144" s="23" t="str">
        <x:v>查询CBN-福州晋安-站东路三环北路交叉西C-HRRH和深圳东海岸三D-HRH这两个站点下5G小区的纬度、经度和设备厂商。</x:v>
      </x:c>
      <x:c r="C144" s="23" t="str">
        <x:v>查询站点CBN-福州晋安-站东路三环北路交叉西C-HRRH和深圳东海岸三D-HRH下5G小区的纬度、经度和设备厂商</x:v>
      </x:c>
      <x:c r="D144" s="23" t="str">
        <x:v>Recipe - Qwen执行</x:v>
      </x:c>
      <x:c r="E144" s="23" t="str">
        <x:v>同一问题第3次Qwen调用</x:v>
      </x:c>
      <x:c r="F144" s="21" t="n">
        <x:v>3</x:v>
      </x:c>
      <x:c r="G144" s="21" t="str">
        <x:v>2026-08-12T10:11:23.055</x:v>
      </x:c>
      <x:c r="H144" s="36" t="n">
        <x:v>1649.393</x:v>
      </x:c>
      <x:c r="I144" s="36" t="n">
        <x:f>H144/1000</x:f>
        <x:v>1.649393</x:v>
      </x:c>
      <x:c r="J144" s="21" t="str">
        <x:v>data2/qwen3_2.jsonl</x:v>
      </x:c>
      <x:c r="K144" s="21" t="n">
        <x:v>41</x:v>
      </x:c>
      <x:c r="L144" s="21" t="str">
        <x:v>processed精确文本</x:v>
      </x:c>
    </x:row>
    <x:row r="145">
      <x:c r="A145" s="38" t="n">
        <x:v>13</x:v>
      </x:c>
      <x:c r="B145" s="23" t="str">
        <x:v>查询CBN-福州晋安-站东路三环北路交叉西C-HRRH和深圳东海岸三D-HRH这两个站点下5G小区的纬度、经度和设备厂商。</x:v>
      </x:c>
      <x:c r="C145" s="23" t="str">
        <x:v>查询站点CBN-福州晋安-站东路三环北路交叉西C-HRRH和深圳东海岸三D-HRH下5G小区的纬度、经度和设备厂商</x:v>
      </x:c>
      <x:c r="D145" s="23" t="str">
        <x:v>Recipe - Qwen总结</x:v>
      </x:c>
      <x:c r="E145" s="23" t="str">
        <x:v>同一问题最后一次Qwen调用</x:v>
      </x:c>
      <x:c r="F145" s="21" t="n">
        <x:v>1</x:v>
      </x:c>
      <x:c r="G145" s="21" t="str">
        <x:v>2026-08-12T10:11:25.246</x:v>
      </x:c>
      <x:c r="H145" s="36" t="n">
        <x:v>2430.083</x:v>
      </x:c>
      <x:c r="I145" s="36" t="n">
        <x:f>H145/1000</x:f>
        <x:v>2.430083</x:v>
      </x:c>
      <x:c r="J145" s="21" t="str">
        <x:v>data2/qwen3_2.jsonl</x:v>
      </x:c>
      <x:c r="K145" s="21" t="n">
        <x:v>42</x:v>
      </x:c>
      <x:c r="L145" s="21" t="str">
        <x:v>processed精确文本</x:v>
      </x:c>
    </x:row>
    <x:row r="146">
      <x:c r="A146" s="38" t="n">
        <x:v>13</x:v>
      </x:c>
      <x:c r="B146" s="23" t="str">
        <x:v>查询CBN-福州晋安-站东路三环北路交叉西C-HRRH和深圳东海岸三D-HRH这两个站点下5G小区的纬度、经度和设备厂商。</x:v>
      </x:c>
      <x:c r="C146" s="23" t="str">
        <x:v>查询站点CBN-福州晋安-站东路三环北路交叉西C-HRRH和深圳东海岸三D-HRH下5G小区的纬度、经度和设备厂商</x:v>
      </x:c>
      <x:c r="D146" s="23" t="str">
        <x:v>AICO总结</x:v>
      </x:c>
      <x:c r="E146" s="23" t="str">
        <x:v>无tool_calls</x:v>
      </x:c>
      <x:c r="F146" s="21" t="n">
        <x:v>1</x:v>
      </x:c>
      <x:c r="G146" s="21" t="str">
        <x:v>2026-08-12T10:11:27.990</x:v>
      </x:c>
      <x:c r="H146" s="36" t="n">
        <x:v>8346.885</x:v>
      </x:c>
      <x:c r="I146" s="36" t="n">
        <x:f>H146/1000</x:f>
        <x:v>8.346885</x:v>
      </x:c>
      <x:c r="J146" s="21" t="str">
        <x:v>data2/dsv4_2_aico.jsonl</x:v>
      </x:c>
      <x:c r="K146" s="21" t="n">
        <x:v>70</x:v>
      </x:c>
      <x:c r="L146" s="21" t="str">
        <x:v>original精确文本</x:v>
      </x:c>
    </x:row>
    <x:row r="147">
      <x:c r="A147" s="38" t="n">
        <x:v>13</x:v>
      </x:c>
      <x:c r="B147" s="23" t="str">
        <x:v>查询CBN-福州晋安-站东路三环北路交叉西C-HRRH和深圳东海岸三D-HRH这两个站点下5G小区的纬度、经度和设备厂商。</x:v>
      </x:c>
      <x:c r="C147" s="23" t="str">
        <x:v>查询站点CBN-福州晋安-站东路三环北路交叉西C-HRRH和深圳东海岸三D-HRH下5G小区的纬度、经度和设备厂商</x:v>
      </x:c>
      <x:c r="D147" s="23" t="str">
        <x:v>问题推荐</x:v>
      </x:c>
      <x:c r="E147" s="23" t="str">
        <x:v>后续问题推荐</x:v>
      </x:c>
      <x:c r="F147" s="21" t="n">
        <x:v>1</x:v>
      </x:c>
      <x:c r="G147" s="21" t="str">
        <x:v>2026-08-12T10:11:36.819</x:v>
      </x:c>
      <x:c r="H147" s="36" t="n">
        <x:v>8253.072</x:v>
      </x:c>
      <x:c r="I147" s="36" t="n">
        <x:f>H147/1000</x:f>
        <x:v>8.253072</x:v>
      </x:c>
      <x:c r="J147" s="21" t="str">
        <x:v>data2/dsv4_2_recipe_ds.jsonl</x:v>
      </x:c>
      <x:c r="K147" s="21" t="n">
        <x:v>34</x:v>
      </x:c>
      <x:c r="L147" s="21" t="str">
        <x:v>original精确文本</x:v>
      </x:c>
    </x:row>
    <x:row r="148">
      <x:c r="A148" s="38" t="n">
        <x:v>14</x:v>
      </x:c>
      <x:c r="B148" s="23" t="str">
        <x:v>找出CBN-福州仓山-福州火车南站C-HRHH-521和CBN-福州晋安-东浦新村4号楼C-HRHH-513这两个NR小区的方向角、移动国家码和站点名称。</x:v>
      </x:c>
      <x:c r="C148" s="23" t="str">
        <x:v>查询小区CBN-福州仓山-福州火车南站C-HRHH-521和CBN-福州晋安-东浦新村4号楼C-HRHH-513的方向角、移动国家码和站点名称</x:v>
      </x:c>
      <x:c r="D148" s="23" t="str">
        <x:v>AICO Tool Call - Skill</x:v>
      </x:c>
      <x:c r="E148" s="23" t="str">
        <x:v>Skill</x:v>
      </x:c>
      <x:c r="F148" s="21" t="n">
        <x:v>1</x:v>
      </x:c>
      <x:c r="G148" s="21" t="str">
        <x:v>2026-08-12T10:11:37.559</x:v>
      </x:c>
      <x:c r="H148" s="36" t="n">
        <x:v>9277.391</x:v>
      </x:c>
      <x:c r="I148" s="36" t="n">
        <x:f>H148/1000</x:f>
        <x:v>9.277391</x:v>
      </x:c>
      <x:c r="J148" s="21" t="str">
        <x:v>data2/dsv4_2_aico.jsonl</x:v>
      </x:c>
      <x:c r="K148" s="21" t="n">
        <x:v>71</x:v>
      </x:c>
      <x:c r="L148" s="21" t="str">
        <x:v>original精确文本</x:v>
      </x:c>
    </x:row>
    <x:row r="149">
      <x:c r="A149" s="38" t="n">
        <x:v>14</x:v>
      </x:c>
      <x:c r="B149" s="23" t="str">
        <x:v>找出CBN-福州仓山-福州火车南站C-HRHH-521和CBN-福州晋安-东浦新村4号楼C-HRHH-513这两个NR小区的方向角、移动国家码和站点名称。</x:v>
      </x:c>
      <x:c r="C149" s="23" t="str">
        <x:v>查询小区CBN-福州仓山-福州火车南站C-HRHH-521和CBN-福州晋安-东浦新村4号楼C-HRHH-513的方向角、移动国家码和站点名称</x:v>
      </x:c>
      <x:c r="D149" s="23" t="str">
        <x:v>AICO Tool Call - Workflow</x:v>
      </x:c>
      <x:c r="E149" s="23" t="str">
        <x:v>Workflow</x:v>
      </x:c>
      <x:c r="F149" s="21" t="n">
        <x:v>1</x:v>
      </x:c>
      <x:c r="G149" s="21" t="str">
        <x:v>2026-08-12T10:11:47.006</x:v>
      </x:c>
      <x:c r="H149" s="36" t="n">
        <x:v>6349.251</x:v>
      </x:c>
      <x:c r="I149" s="36" t="n">
        <x:f>H149/1000</x:f>
        <x:v>6.349251000000001</x:v>
      </x:c>
      <x:c r="J149" s="21" t="str">
        <x:v>data2/dsv4_2_aico.jsonl</x:v>
      </x:c>
      <x:c r="K149" s="21" t="n">
        <x:v>72</x:v>
      </x:c>
      <x:c r="L149" s="21" t="str">
        <x:v>original精确文本</x:v>
      </x:c>
    </x:row>
    <x:row r="150">
      <x:c r="A150" s="38" t="n">
        <x:v>14</x:v>
      </x:c>
      <x:c r="B150" s="23" t="str">
        <x:v>找出CBN-福州仓山-福州火车南站C-HRHH-521和CBN-福州晋安-东浦新村4号楼C-HRHH-513这两个NR小区的方向角、移动国家码和站点名称。</x:v>
      </x:c>
      <x:c r="C150" s="23" t="str">
        <x:v>查询小区CBN-福州仓山-福州火车南站C-HRHH-521和CBN-福州晋安-东浦新村4号楼C-HRHH-513的方向角、移动国家码和站点名称</x:v>
      </x:c>
      <x:c r="D150" s="23" t="str">
        <x:v>Recipe - DeepSeek</x:v>
      </x:c>
      <x:c r="E150" s="23" t="str">
        <x:v>DeepSeek recipe调用</x:v>
      </x:c>
      <x:c r="F150" s="21" t="n">
        <x:v>1</x:v>
      </x:c>
      <x:c r="G150" s="21" t="str">
        <x:v>2026-08-12T10:11:54.756</x:v>
      </x:c>
      <x:c r="H150" s="36" t="n">
        <x:v>4245.973</x:v>
      </x:c>
      <x:c r="I150" s="36" t="n">
        <x:f>H150/1000</x:f>
        <x:v>4.245973</x:v>
      </x:c>
      <x:c r="J150" s="21" t="str">
        <x:v>data2/dsv4_2_recipe_ds.jsonl</x:v>
      </x:c>
      <x:c r="K150" s="21" t="n">
        <x:v>35</x:v>
      </x:c>
      <x:c r="L150" s="21" t="str">
        <x:v>processed精确文本</x:v>
      </x:c>
    </x:row>
    <x:row r="151">
      <x:c r="A151" s="38" t="n">
        <x:v>14</x:v>
      </x:c>
      <x:c r="B151" s="23" t="str">
        <x:v>找出CBN-福州仓山-福州火车南站C-HRHH-521和CBN-福州晋安-东浦新村4号楼C-HRHH-513这两个NR小区的方向角、移动国家码和站点名称。</x:v>
      </x:c>
      <x:c r="C151" s="23" t="str">
        <x:v>查询小区CBN-福州仓山-福州火车南站C-HRHH-521和CBN-福州晋安-东浦新村4号楼C-HRHH-513的方向角、移动国家码和站点名称</x:v>
      </x:c>
      <x:c r="D151" s="23" t="str">
        <x:v>Recipe - Qwen执行</x:v>
      </x:c>
      <x:c r="E151" s="23" t="str">
        <x:v>同一问题第1次Qwen调用</x:v>
      </x:c>
      <x:c r="F151" s="21" t="n">
        <x:v>1</x:v>
      </x:c>
      <x:c r="G151" s="21" t="str">
        <x:v>2026-08-12T10:11:59.340</x:v>
      </x:c>
      <x:c r="H151" s="36" t="n">
        <x:v>1459.73</x:v>
      </x:c>
      <x:c r="I151" s="36" t="n">
        <x:f>H151/1000</x:f>
        <x:v>1.45973</x:v>
      </x:c>
      <x:c r="J151" s="21" t="str">
        <x:v>data2/qwen3_2.jsonl</x:v>
      </x:c>
      <x:c r="K151" s="21" t="n">
        <x:v>43</x:v>
      </x:c>
      <x:c r="L151" s="21" t="str">
        <x:v>processed精确文本</x:v>
      </x:c>
    </x:row>
    <x:row r="152">
      <x:c r="A152" s="38" t="n">
        <x:v>14</x:v>
      </x:c>
      <x:c r="B152" s="23" t="str">
        <x:v>找出CBN-福州仓山-福州火车南站C-HRHH-521和CBN-福州晋安-东浦新村4号楼C-HRHH-513这两个NR小区的方向角、移动国家码和站点名称。</x:v>
      </x:c>
      <x:c r="C152" s="23" t="str">
        <x:v>查询小区CBN-福州仓山-福州火车南站C-HRHH-521和CBN-福州晋安-东浦新村4号楼C-HRHH-513的方向角、移动国家码和站点名称</x:v>
      </x:c>
      <x:c r="D152" s="23" t="str">
        <x:v>Recipe - Qwen总结</x:v>
      </x:c>
      <x:c r="E152" s="23" t="str">
        <x:v>同一问题最后一次Qwen调用</x:v>
      </x:c>
      <x:c r="F152" s="21" t="n">
        <x:v>1</x:v>
      </x:c>
      <x:c r="G152" s="21" t="str">
        <x:v>2026-08-12T10:12:01.314</x:v>
      </x:c>
      <x:c r="H152" s="36" t="n">
        <x:v>2328.402</x:v>
      </x:c>
      <x:c r="I152" s="36" t="n">
        <x:f>H152/1000</x:f>
        <x:v>2.328402</x:v>
      </x:c>
      <x:c r="J152" s="21" t="str">
        <x:v>data2/qwen3_2.jsonl</x:v>
      </x:c>
      <x:c r="K152" s="21" t="n">
        <x:v>44</x:v>
      </x:c>
      <x:c r="L152" s="21" t="str">
        <x:v>processed精确文本</x:v>
      </x:c>
    </x:row>
    <x:row r="153">
      <x:c r="A153" s="38" t="n">
        <x:v>14</x:v>
      </x:c>
      <x:c r="B153" s="23" t="str">
        <x:v>找出CBN-福州仓山-福州火车南站C-HRHH-521和CBN-福州晋安-东浦新村4号楼C-HRHH-513这两个NR小区的方向角、移动国家码和站点名称。</x:v>
      </x:c>
      <x:c r="C153" s="23" t="str">
        <x:v>查询小区CBN-福州仓山-福州火车南站C-HRHH-521和CBN-福州晋安-东浦新村4号楼C-HRHH-513的方向角、移动国家码和站点名称</x:v>
      </x:c>
      <x:c r="D153" s="23" t="str">
        <x:v>AICO总结</x:v>
      </x:c>
      <x:c r="E153" s="23" t="str">
        <x:v>无tool_calls</x:v>
      </x:c>
      <x:c r="F153" s="21" t="n">
        <x:v>1</x:v>
      </x:c>
      <x:c r="G153" s="21" t="str">
        <x:v>2026-08-12T10:12:03.913</x:v>
      </x:c>
      <x:c r="H153" s="36" t="n">
        <x:v>6342.972</x:v>
      </x:c>
      <x:c r="I153" s="36" t="n">
        <x:f>H153/1000</x:f>
        <x:v>6.342972</x:v>
      </x:c>
      <x:c r="J153" s="21" t="str">
        <x:v>data2/dsv4_2_aico.jsonl</x:v>
      </x:c>
      <x:c r="K153" s="21" t="n">
        <x:v>73</x:v>
      </x:c>
      <x:c r="L153" s="21" t="str">
        <x:v>original精确文本</x:v>
      </x:c>
    </x:row>
    <x:row r="154">
      <x:c r="A154" s="38" t="n">
        <x:v>14</x:v>
      </x:c>
      <x:c r="B154" s="23" t="str">
        <x:v>找出CBN-福州仓山-福州火车南站C-HRHH-521和CBN-福州晋安-东浦新村4号楼C-HRHH-513这两个NR小区的方向角、移动国家码和站点名称。</x:v>
      </x:c>
      <x:c r="C154" s="23" t="str">
        <x:v>查询小区CBN-福州仓山-福州火车南站C-HRHH-521和CBN-福州晋安-东浦新村4号楼C-HRHH-513的方向角、移动国家码和站点名称</x:v>
      </x:c>
      <x:c r="D154" s="23" t="str">
        <x:v>问题推荐</x:v>
      </x:c>
      <x:c r="E154" s="23" t="str">
        <x:v>后续问题推荐</x:v>
      </x:c>
      <x:c r="F154" s="21" t="n">
        <x:v>1</x:v>
      </x:c>
      <x:c r="G154" s="21" t="str">
        <x:v>2026-08-12T10:12:10.545</x:v>
      </x:c>
      <x:c r="H154" s="36" t="n">
        <x:v>7402.817</x:v>
      </x:c>
      <x:c r="I154" s="36" t="n">
        <x:f>H154/1000</x:f>
        <x:v>7.402817</x:v>
      </x:c>
      <x:c r="J154" s="21" t="str">
        <x:v>data2/dsv4_2_recipe_ds.jsonl</x:v>
      </x:c>
      <x:c r="K154" s="21" t="n">
        <x:v>36</x:v>
      </x:c>
      <x:c r="L154" s="21" t="str">
        <x:v>original精确文本</x:v>
      </x:c>
    </x:row>
    <x:row r="155">
      <x:c r="A155" s="38" t="n">
        <x:v>15</x:v>
      </x:c>
      <x:c r="B155" s="23" t="str">
        <x:v>确认一下CBN-深圳梅沙湾二U-H5H站点下5G小区的CGI、小区标识和机械下倾角。</x:v>
      </x:c>
      <x:c r="C155" s="23" t="str">
        <x:v>查询CBN-深圳梅沙湾二U-H5H站点下所有5G小区的CGI、小区标识和机械下倾角</x:v>
      </x:c>
      <x:c r="D155" s="23" t="str">
        <x:v>AICO Tool Call - Skill</x:v>
      </x:c>
      <x:c r="E155" s="23" t="str">
        <x:v>Skill</x:v>
      </x:c>
      <x:c r="F155" s="21" t="n">
        <x:v>1</x:v>
      </x:c>
      <x:c r="G155" s="21" t="str">
        <x:v>2026-08-12T10:12:11.453</x:v>
      </x:c>
      <x:c r="H155" s="36" t="n">
        <x:v>8044.866</x:v>
      </x:c>
      <x:c r="I155" s="36" t="n">
        <x:f>H155/1000</x:f>
        <x:v>8.044866</x:v>
      </x:c>
      <x:c r="J155" s="21" t="str">
        <x:v>data2/dsv4_2_aico.jsonl</x:v>
      </x:c>
      <x:c r="K155" s="21" t="n">
        <x:v>74</x:v>
      </x:c>
      <x:c r="L155" s="21" t="str">
        <x:v>original精确文本</x:v>
      </x:c>
    </x:row>
    <x:row r="156">
      <x:c r="A156" s="38" t="n">
        <x:v>15</x:v>
      </x:c>
      <x:c r="B156" s="23" t="str">
        <x:v>确认一下CBN-深圳梅沙湾二U-H5H站点下5G小区的CGI、小区标识和机械下倾角。</x:v>
      </x:c>
      <x:c r="C156" s="23" t="str">
        <x:v>查询CBN-深圳梅沙湾二U-H5H站点下所有5G小区的CGI、小区标识和机械下倾角</x:v>
      </x:c>
      <x:c r="D156" s="23" t="str">
        <x:v>AICO Tool Call - Workflow</x:v>
      </x:c>
      <x:c r="E156" s="23" t="str">
        <x:v>Workflow</x:v>
      </x:c>
      <x:c r="F156" s="21" t="n">
        <x:v>1</x:v>
      </x:c>
      <x:c r="G156" s="21" t="str">
        <x:v>2026-08-12T10:12:19.659</x:v>
      </x:c>
      <x:c r="H156" s="36" t="n">
        <x:v>5284.082</x:v>
      </x:c>
      <x:c r="I156" s="36" t="n">
        <x:f>H156/1000</x:f>
        <x:v>5.284082000000001</x:v>
      </x:c>
      <x:c r="J156" s="21" t="str">
        <x:v>data2/dsv4_2_aico.jsonl</x:v>
      </x:c>
      <x:c r="K156" s="21" t="n">
        <x:v>75</x:v>
      </x:c>
      <x:c r="L156" s="21" t="str">
        <x:v>original精确文本</x:v>
      </x:c>
    </x:row>
    <x:row r="157">
      <x:c r="A157" s="38" t="n">
        <x:v>15</x:v>
      </x:c>
      <x:c r="B157" s="23" t="str">
        <x:v>确认一下CBN-深圳梅沙湾二U-H5H站点下5G小区的CGI、小区标识和机械下倾角。</x:v>
      </x:c>
      <x:c r="C157" s="23" t="str">
        <x:v>查询CBN-深圳梅沙湾二U-H5H站点下所有5G小区的CGI、小区标识和机械下倾角</x:v>
      </x:c>
      <x:c r="D157" s="23" t="str">
        <x:v>Recipe - DeepSeek</x:v>
      </x:c>
      <x:c r="E157" s="23" t="str">
        <x:v>DeepSeek recipe调用</x:v>
      </x:c>
      <x:c r="F157" s="21" t="n">
        <x:v>1</x:v>
      </x:c>
      <x:c r="G157" s="21" t="str">
        <x:v>2026-08-12T10:12:26.309</x:v>
      </x:c>
      <x:c r="H157" s="36" t="n">
        <x:v>3549.778</x:v>
      </x:c>
      <x:c r="I157" s="36" t="n">
        <x:f>H157/1000</x:f>
        <x:v>3.549778</x:v>
      </x:c>
      <x:c r="J157" s="21" t="str">
        <x:v>data2/dsv4_2_recipe_ds.jsonl</x:v>
      </x:c>
      <x:c r="K157" s="21" t="n">
        <x:v>37</x:v>
      </x:c>
      <x:c r="L157" s="21" t="str">
        <x:v>processed精确文本</x:v>
      </x:c>
    </x:row>
    <x:row r="158">
      <x:c r="A158" s="38" t="n">
        <x:v>15</x:v>
      </x:c>
      <x:c r="B158" s="23" t="str">
        <x:v>确认一下CBN-深圳梅沙湾二U-H5H站点下5G小区的CGI、小区标识和机械下倾角。</x:v>
      </x:c>
      <x:c r="C158" s="23" t="str">
        <x:v>查询CBN-深圳梅沙湾二U-H5H站点下所有5G小区的CGI、小区标识和机械下倾角</x:v>
      </x:c>
      <x:c r="D158" s="23" t="str">
        <x:v>Recipe - Qwen执行</x:v>
      </x:c>
      <x:c r="E158" s="23" t="str">
        <x:v>同一问题第1次Qwen调用</x:v>
      </x:c>
      <x:c r="F158" s="21" t="n">
        <x:v>1</x:v>
      </x:c>
      <x:c r="G158" s="21" t="str">
        <x:v>2026-08-12T10:12:30.200</x:v>
      </x:c>
      <x:c r="H158" s="36" t="n">
        <x:v>1379.935</x:v>
      </x:c>
      <x:c r="I158" s="36" t="n">
        <x:f>H158/1000</x:f>
        <x:v>1.379935</x:v>
      </x:c>
      <x:c r="J158" s="21" t="str">
        <x:v>data2/qwen3_2.jsonl</x:v>
      </x:c>
      <x:c r="K158" s="21" t="n">
        <x:v>45</x:v>
      </x:c>
      <x:c r="L158" s="21" t="str">
        <x:v>processed精确文本</x:v>
      </x:c>
    </x:row>
    <x:row r="159">
      <x:c r="A159" s="38" t="n">
        <x:v>15</x:v>
      </x:c>
      <x:c r="B159" s="23" t="str">
        <x:v>确认一下CBN-深圳梅沙湾二U-H5H站点下5G小区的CGI、小区标识和机械下倾角。</x:v>
      </x:c>
      <x:c r="C159" s="23" t="str">
        <x:v>查询CBN-深圳梅沙湾二U-H5H站点下所有5G小区的CGI、小区标识和机械下倾角</x:v>
      </x:c>
      <x:c r="D159" s="23" t="str">
        <x:v>Recipe - Qwen总结</x:v>
      </x:c>
      <x:c r="E159" s="23" t="str">
        <x:v>同一问题最后一次Qwen调用</x:v>
      </x:c>
      <x:c r="F159" s="21" t="n">
        <x:v>1</x:v>
      </x:c>
      <x:c r="G159" s="21" t="str">
        <x:v>2026-08-12T10:12:32.068</x:v>
      </x:c>
      <x:c r="H159" s="36" t="n">
        <x:v>3321.384</x:v>
      </x:c>
      <x:c r="I159" s="36" t="n">
        <x:f>H159/1000</x:f>
        <x:v>3.321384</x:v>
      </x:c>
      <x:c r="J159" s="21" t="str">
        <x:v>data2/qwen3_2.jsonl</x:v>
      </x:c>
      <x:c r="K159" s="21" t="n">
        <x:v>46</x:v>
      </x:c>
      <x:c r="L159" s="21" t="str">
        <x:v>processed精确文本</x:v>
      </x:c>
    </x:row>
    <x:row r="160">
      <x:c r="A160" s="38" t="n">
        <x:v>15</x:v>
      </x:c>
      <x:c r="B160" s="23" t="str">
        <x:v>确认一下CBN-深圳梅沙湾二U-H5H站点下5G小区的CGI、小区标识和机械下倾角。</x:v>
      </x:c>
      <x:c r="C160" s="23" t="str">
        <x:v>查询CBN-深圳梅沙湾二U-H5H站点下所有5G小区的CGI、小区标识和机械下倾角</x:v>
      </x:c>
      <x:c r="D160" s="23" t="str">
        <x:v>AICO总结</x:v>
      </x:c>
      <x:c r="E160" s="23" t="str">
        <x:v>无tool_calls</x:v>
      </x:c>
      <x:c r="F160" s="21" t="n">
        <x:v>1</x:v>
      </x:c>
      <x:c r="G160" s="21" t="str">
        <x:v>2026-08-12T10:12:35.659</x:v>
      </x:c>
      <x:c r="H160" s="36" t="n">
        <x:v>6830.86</x:v>
      </x:c>
      <x:c r="I160" s="36" t="n">
        <x:f>H160/1000</x:f>
        <x:v>6.8308599999999995</x:v>
      </x:c>
      <x:c r="J160" s="21" t="str">
        <x:v>data2/dsv4_2_aico.jsonl</x:v>
      </x:c>
      <x:c r="K160" s="21" t="n">
        <x:v>76</x:v>
      </x:c>
      <x:c r="L160" s="21" t="str">
        <x:v>original精确文本</x:v>
      </x:c>
    </x:row>
    <x:row r="161">
      <x:c r="A161" s="38" t="n">
        <x:v>15</x:v>
      </x:c>
      <x:c r="B161" s="23" t="str">
        <x:v>确认一下CBN-深圳梅沙湾二U-H5H站点下5G小区的CGI、小区标识和机械下倾角。</x:v>
      </x:c>
      <x:c r="C161" s="23" t="str">
        <x:v>查询CBN-深圳梅沙湾二U-H5H站点下所有5G小区的CGI、小区标识和机械下倾角</x:v>
      </x:c>
      <x:c r="D161" s="23" t="str">
        <x:v>问题推荐</x:v>
      </x:c>
      <x:c r="E161" s="23" t="str">
        <x:v>后续问题推荐</x:v>
      </x:c>
      <x:c r="F161" s="21" t="n">
        <x:v>1</x:v>
      </x:c>
      <x:c r="G161" s="21" t="str">
        <x:v>2026-08-12T10:12:42.935</x:v>
      </x:c>
      <x:c r="H161" s="36" t="n">
        <x:v>8211.318</x:v>
      </x:c>
      <x:c r="I161" s="36" t="n">
        <x:f>H161/1000</x:f>
        <x:v>8.211317999999999</x:v>
      </x:c>
      <x:c r="J161" s="21" t="str">
        <x:v>data2/dsv4_2_recipe_ds.jsonl</x:v>
      </x:c>
      <x:c r="K161" s="21" t="n">
        <x:v>38</x:v>
      </x:c>
      <x:c r="L161" s="21" t="str">
        <x:v>original精确文本</x:v>
      </x:c>
    </x:row>
    <x:row r="162">
      <x:c r="A162" s="38" t="n">
        <x:v>16</x:v>
      </x:c>
      <x:c r="B162" s="23" t="str">
        <x:v>帮我查一下CBN-深圳梅沙湾U-H5H站点下天线高度大于30米的小区，返回小区名称、天线高度和方位角。</x:v>
      </x:c>
      <x:c r="C162" s="23" t="str">
        <x:v>查询CBN-深圳梅沙湾U-H5H站点下天线高度大于30米的小区，返回小区名称、天线高度和方位角</x:v>
      </x:c>
      <x:c r="D162" s="23" t="str">
        <x:v>AICO Tool Call - Skill</x:v>
      </x:c>
      <x:c r="E162" s="23" t="str">
        <x:v>Skill</x:v>
      </x:c>
      <x:c r="F162" s="21" t="n">
        <x:v>1</x:v>
      </x:c>
      <x:c r="G162" s="21" t="str">
        <x:v>2026-08-12T10:12:43.796</x:v>
      </x:c>
      <x:c r="H162" s="36" t="n">
        <x:v>8320.396</x:v>
      </x:c>
      <x:c r="I162" s="36" t="n">
        <x:f>H162/1000</x:f>
        <x:v>8.320396</x:v>
      </x:c>
      <x:c r="J162" s="21" t="str">
        <x:v>data2/dsv4_2_aico.jsonl</x:v>
      </x:c>
      <x:c r="K162" s="21" t="n">
        <x:v>77</x:v>
      </x:c>
      <x:c r="L162" s="21" t="str">
        <x:v>original精确文本</x:v>
      </x:c>
    </x:row>
    <x:row r="163">
      <x:c r="A163" s="38" t="n">
        <x:v>16</x:v>
      </x:c>
      <x:c r="B163" s="23" t="str">
        <x:v>帮我查一下CBN-深圳梅沙湾U-H5H站点下天线高度大于30米的小区，返回小区名称、天线高度和方位角。</x:v>
      </x:c>
      <x:c r="C163" s="23" t="str">
        <x:v>查询CBN-深圳梅沙湾U-H5H站点下天线高度大于30米的小区，返回小区名称、天线高度和方位角</x:v>
      </x:c>
      <x:c r="D163" s="23" t="str">
        <x:v>AICO Tool Call - Workflow</x:v>
      </x:c>
      <x:c r="E163" s="23" t="str">
        <x:v>Workflow</x:v>
      </x:c>
      <x:c r="F163" s="21" t="n">
        <x:v>1</x:v>
      </x:c>
      <x:c r="G163" s="21" t="str">
        <x:v>2026-08-12T10:12:52.286</x:v>
      </x:c>
      <x:c r="H163" s="36" t="n">
        <x:v>5844.813</x:v>
      </x:c>
      <x:c r="I163" s="36" t="n">
        <x:f>H163/1000</x:f>
        <x:v>5.844813</x:v>
      </x:c>
      <x:c r="J163" s="21" t="str">
        <x:v>data2/dsv4_2_aico.jsonl</x:v>
      </x:c>
      <x:c r="K163" s="21" t="n">
        <x:v>78</x:v>
      </x:c>
      <x:c r="L163" s="21" t="str">
        <x:v>original精确文本</x:v>
      </x:c>
    </x:row>
    <x:row r="164">
      <x:c r="A164" s="38" t="n">
        <x:v>16</x:v>
      </x:c>
      <x:c r="B164" s="23" t="str">
        <x:v>帮我查一下CBN-深圳梅沙湾U-H5H站点下天线高度大于30米的小区，返回小区名称、天线高度和方位角。</x:v>
      </x:c>
      <x:c r="C164" s="23" t="str">
        <x:v>查询CBN-深圳梅沙湾U-H5H站点下天线高度大于30米的小区，返回小区名称、天线高度和方位角</x:v>
      </x:c>
      <x:c r="D164" s="23" t="str">
        <x:v>Recipe - DeepSeek</x:v>
      </x:c>
      <x:c r="E164" s="23" t="str">
        <x:v>DeepSeek recipe调用</x:v>
      </x:c>
      <x:c r="F164" s="21" t="n">
        <x:v>1</x:v>
      </x:c>
      <x:c r="G164" s="21" t="str">
        <x:v>2026-08-12T10:12:59.587</x:v>
      </x:c>
      <x:c r="H164" s="36" t="n">
        <x:v>3911.093</x:v>
      </x:c>
      <x:c r="I164" s="36" t="n">
        <x:f>H164/1000</x:f>
        <x:v>3.9110929999999997</x:v>
      </x:c>
      <x:c r="J164" s="21" t="str">
        <x:v>data2/dsv4_2_recipe_ds.jsonl</x:v>
      </x:c>
      <x:c r="K164" s="21" t="n">
        <x:v>39</x:v>
      </x:c>
      <x:c r="L164" s="21" t="str">
        <x:v>processed精确文本</x:v>
      </x:c>
    </x:row>
    <x:row r="165">
      <x:c r="A165" s="38" t="n">
        <x:v>16</x:v>
      </x:c>
      <x:c r="B165" s="23" t="str">
        <x:v>帮我查一下CBN-深圳梅沙湾U-H5H站点下天线高度大于30米的小区，返回小区名称、天线高度和方位角。</x:v>
      </x:c>
      <x:c r="C165" s="23" t="str">
        <x:v>查询CBN-深圳梅沙湾U-H5H站点下天线高度大于30米的小区，返回小区名称、天线高度和方位角</x:v>
      </x:c>
      <x:c r="D165" s="23" t="str">
        <x:v>Recipe - Qwen执行</x:v>
      </x:c>
      <x:c r="E165" s="23" t="str">
        <x:v>同一问题第1次Qwen调用</x:v>
      </x:c>
      <x:c r="F165" s="21" t="n">
        <x:v>1</x:v>
      </x:c>
      <x:c r="G165" s="21" t="str">
        <x:v>2026-08-12T10:13:03.834</x:v>
      </x:c>
      <x:c r="H165" s="36" t="n">
        <x:v>1524.411</x:v>
      </x:c>
      <x:c r="I165" s="36" t="n">
        <x:f>H165/1000</x:f>
        <x:v>1.524411</x:v>
      </x:c>
      <x:c r="J165" s="21" t="str">
        <x:v>data2/qwen3_2.jsonl</x:v>
      </x:c>
      <x:c r="K165" s="21" t="n">
        <x:v>47</x:v>
      </x:c>
      <x:c r="L165" s="21" t="str">
        <x:v>processed精确文本</x:v>
      </x:c>
    </x:row>
    <x:row r="166">
      <x:c r="A166" s="38" t="n">
        <x:v>16</x:v>
      </x:c>
      <x:c r="B166" s="23" t="str">
        <x:v>帮我查一下CBN-深圳梅沙湾U-H5H站点下天线高度大于30米的小区，返回小区名称、天线高度和方位角。</x:v>
      </x:c>
      <x:c r="C166" s="23" t="str">
        <x:v>查询CBN-深圳梅沙湾U-H5H站点下天线高度大于30米的小区，返回小区名称、天线高度和方位角</x:v>
      </x:c>
      <x:c r="D166" s="23" t="str">
        <x:v>Recipe - Qwen总结</x:v>
      </x:c>
      <x:c r="E166" s="23" t="str">
        <x:v>同一问题最后一次Qwen调用</x:v>
      </x:c>
      <x:c r="F166" s="21" t="n">
        <x:v>1</x:v>
      </x:c>
      <x:c r="G166" s="21" t="str">
        <x:v>2026-08-12T10:13:05.925</x:v>
      </x:c>
      <x:c r="H166" s="36" t="n">
        <x:v>1982.378</x:v>
      </x:c>
      <x:c r="I166" s="36" t="n">
        <x:f>H166/1000</x:f>
        <x:v>1.982378</x:v>
      </x:c>
      <x:c r="J166" s="21" t="str">
        <x:v>data2/qwen3_2.jsonl</x:v>
      </x:c>
      <x:c r="K166" s="21" t="n">
        <x:v>48</x:v>
      </x:c>
      <x:c r="L166" s="21" t="str">
        <x:v>processed精确文本</x:v>
      </x:c>
    </x:row>
    <x:row r="167">
      <x:c r="A167" s="38" t="n">
        <x:v>16</x:v>
      </x:c>
      <x:c r="B167" s="23" t="str">
        <x:v>帮我查一下CBN-深圳梅沙湾U-H5H站点下天线高度大于30米的小区，返回小区名称、天线高度和方位角。</x:v>
      </x:c>
      <x:c r="C167" s="23" t="str">
        <x:v>查询CBN-深圳梅沙湾U-H5H站点下天线高度大于30米的小区，返回小区名称、天线高度和方位角</x:v>
      </x:c>
      <x:c r="D167" s="23" t="str">
        <x:v>AICO总结</x:v>
      </x:c>
      <x:c r="E167" s="23" t="str">
        <x:v>无tool_calls</x:v>
      </x:c>
      <x:c r="F167" s="21" t="n">
        <x:v>1</x:v>
      </x:c>
      <x:c r="G167" s="21" t="str">
        <x:v>2026-08-12T10:13:08.185</x:v>
      </x:c>
      <x:c r="H167" s="36" t="n">
        <x:v>6908.202</x:v>
      </x:c>
      <x:c r="I167" s="36" t="n">
        <x:f>H167/1000</x:f>
        <x:v>6.908202</x:v>
      </x:c>
      <x:c r="J167" s="21" t="str">
        <x:v>data2/dsv4_2_aico.jsonl</x:v>
      </x:c>
      <x:c r="K167" s="21" t="n">
        <x:v>79</x:v>
      </x:c>
      <x:c r="L167" s="21" t="str">
        <x:v>original精确文本</x:v>
      </x:c>
    </x:row>
    <x:row r="168">
      <x:c r="A168" s="38" t="n">
        <x:v>16</x:v>
      </x:c>
      <x:c r="B168" s="23" t="str">
        <x:v>帮我查一下CBN-深圳梅沙湾U-H5H站点下天线高度大于30米的小区，返回小区名称、天线高度和方位角。</x:v>
      </x:c>
      <x:c r="C168" s="23" t="str">
        <x:v>查询CBN-深圳梅沙湾U-H5H站点下天线高度大于30米的小区，返回小区名称、天线高度和方位角</x:v>
      </x:c>
      <x:c r="D168" s="23" t="str">
        <x:v>问题推荐</x:v>
      </x:c>
      <x:c r="E168" s="23" t="str">
        <x:v>后续问题推荐</x:v>
      </x:c>
      <x:c r="F168" s="21" t="n">
        <x:v>1</x:v>
      </x:c>
      <x:c r="G168" s="21" t="str">
        <x:v>2026-08-12T10:13:15.391</x:v>
      </x:c>
      <x:c r="H168" s="36" t="n">
        <x:v>5697.663</x:v>
      </x:c>
      <x:c r="I168" s="36" t="n">
        <x:f>H168/1000</x:f>
        <x:v>5.6976629999999995</x:v>
      </x:c>
      <x:c r="J168" s="21" t="str">
        <x:v>data2/dsv4_2_recipe_ds.jsonl</x:v>
      </x:c>
      <x:c r="K168" s="21" t="n">
        <x:v>40</x:v>
      </x:c>
      <x:c r="L168" s="21" t="str">
        <x:v>original精确文本</x:v>
      </x:c>
    </x:row>
    <x:row r="169">
      <x:c r="A169" s="38" t="n">
        <x:v>17</x:v>
      </x:c>
      <x:c r="B169" s="23" t="str">
        <x:v>找出深圳奥特莱斯D-HRW-1和深圳奥特莱斯D-HRH-2这两个5G小区中，机械下倾角在3到9之间的小区名称、机械下倾角和电子下倾角。</x:v>
      </x:c>
      <x:c r="C169" s="23" t="str">
        <x:v>查询深圳奥特莱斯D-HRW-1和深圳奥特莱斯D-HRH-2这两个5G小区的工程参数，包括小区名称、机械下倾角和电子下倾角，筛选出机械下倾角在3到9之间的小区。</x:v>
      </x:c>
      <x:c r="D169" s="23" t="str">
        <x:v>AICO Tool Call - Skill</x:v>
      </x:c>
      <x:c r="E169" s="23" t="str">
        <x:v>Skill</x:v>
      </x:c>
      <x:c r="F169" s="21" t="n">
        <x:v>1</x:v>
      </x:c>
      <x:c r="G169" s="21" t="str">
        <x:v>2026-08-12T10:13:16.282</x:v>
      </x:c>
      <x:c r="H169" s="36" t="n">
        <x:v>5704.087</x:v>
      </x:c>
      <x:c r="I169" s="36" t="n">
        <x:f>H169/1000</x:f>
        <x:v>5.704087</x:v>
      </x:c>
      <x:c r="J169" s="21" t="str">
        <x:v>data2/dsv4_2_aico.jsonl</x:v>
      </x:c>
      <x:c r="K169" s="21" t="n">
        <x:v>80</x:v>
      </x:c>
      <x:c r="L169" s="21" t="str">
        <x:v>original精确文本</x:v>
      </x:c>
    </x:row>
    <x:row r="170">
      <x:c r="A170" s="38" t="n">
        <x:v>17</x:v>
      </x:c>
      <x:c r="B170" s="23" t="str">
        <x:v>找出深圳奥特莱斯D-HRW-1和深圳奥特莱斯D-HRH-2这两个5G小区中，机械下倾角在3到9之间的小区名称、机械下倾角和电子下倾角。</x:v>
      </x:c>
      <x:c r="C170" s="23" t="str">
        <x:v>查询深圳奥特莱斯D-HRW-1和深圳奥特莱斯D-HRH-2这两个5G小区的工程参数，包括小区名称、机械下倾角和电子下倾角，筛选出机械下倾角在3到9之间的小区。</x:v>
      </x:c>
      <x:c r="D170" s="23" t="str">
        <x:v>AICO Tool Call - Workflow</x:v>
      </x:c>
      <x:c r="E170" s="23" t="str">
        <x:v>Workflow</x:v>
      </x:c>
      <x:c r="F170" s="21" t="n">
        <x:v>1</x:v>
      </x:c>
      <x:c r="G170" s="21" t="str">
        <x:v>2026-08-12T10:13:22.147</x:v>
      </x:c>
      <x:c r="H170" s="36" t="n">
        <x:v>8953.636</x:v>
      </x:c>
      <x:c r="I170" s="36" t="n">
        <x:f>H170/1000</x:f>
        <x:v>8.953636000000001</x:v>
      </x:c>
      <x:c r="J170" s="21" t="str">
        <x:v>data2/dsv4_2_aico.jsonl</x:v>
      </x:c>
      <x:c r="K170" s="21" t="n">
        <x:v>81</x:v>
      </x:c>
      <x:c r="L170" s="21" t="str">
        <x:v>original精确文本</x:v>
      </x:c>
    </x:row>
    <x:row r="171">
      <x:c r="A171" s="38" t="n">
        <x:v>17</x:v>
      </x:c>
      <x:c r="B171" s="23" t="str">
        <x:v>找出深圳奥特莱斯D-HRW-1和深圳奥特莱斯D-HRH-2这两个5G小区中，机械下倾角在3到9之间的小区名称、机械下倾角和电子下倾角。</x:v>
      </x:c>
      <x:c r="C171" s="23" t="str">
        <x:v>查询深圳奥特莱斯D-HRW-1和深圳奥特莱斯D-HRH-2这两个5G小区的工程参数，包括小区名称、机械下倾角和电子下倾角，筛选出机械下倾角在3到9之间的小区。</x:v>
      </x:c>
      <x:c r="D171" s="23" t="str">
        <x:v>Recipe - DeepSeek</x:v>
      </x:c>
      <x:c r="E171" s="23" t="str">
        <x:v>DeepSeek recipe调用</x:v>
      </x:c>
      <x:c r="F171" s="21" t="n">
        <x:v>1</x:v>
      </x:c>
      <x:c r="G171" s="21" t="str">
        <x:v>2026-08-12T10:13:32.424</x:v>
      </x:c>
      <x:c r="H171" s="36" t="n">
        <x:v>3947.179</x:v>
      </x:c>
      <x:c r="I171" s="36" t="n">
        <x:f>H171/1000</x:f>
        <x:v>3.947179</x:v>
      </x:c>
      <x:c r="J171" s="21" t="str">
        <x:v>data2/dsv4_2_recipe_ds.jsonl</x:v>
      </x:c>
      <x:c r="K171" s="21" t="n">
        <x:v>41</x:v>
      </x:c>
      <x:c r="L171" s="21" t="str">
        <x:v>processed精确文本</x:v>
      </x:c>
    </x:row>
    <x:row r="172">
      <x:c r="A172" s="38" t="n">
        <x:v>17</x:v>
      </x:c>
      <x:c r="B172" s="23" t="str">
        <x:v>找出深圳奥特莱斯D-HRW-1和深圳奥特莱斯D-HRH-2这两个5G小区中，机械下倾角在3到9之间的小区名称、机械下倾角和电子下倾角。</x:v>
      </x:c>
      <x:c r="C172" s="23" t="str">
        <x:v>查询深圳奥特莱斯D-HRW-1和深圳奥特莱斯D-HRH-2这两个5G小区的工程参数，包括小区名称、机械下倾角和电子下倾角，筛选出机械下倾角在3到9之间的小区。</x:v>
      </x:c>
      <x:c r="D172" s="23" t="str">
        <x:v>Recipe - Qwen执行</x:v>
      </x:c>
      <x:c r="E172" s="23" t="str">
        <x:v>同一问题第1次Qwen调用</x:v>
      </x:c>
      <x:c r="F172" s="21" t="n">
        <x:v>1</x:v>
      </x:c>
      <x:c r="G172" s="21" t="str">
        <x:v>2026-08-12T10:13:36.702</x:v>
      </x:c>
      <x:c r="H172" s="36" t="n">
        <x:v>1694.254</x:v>
      </x:c>
      <x:c r="I172" s="36" t="n">
        <x:f>H172/1000</x:f>
        <x:v>1.694254</x:v>
      </x:c>
      <x:c r="J172" s="21" t="str">
        <x:v>data2/qwen3_2.jsonl</x:v>
      </x:c>
      <x:c r="K172" s="21" t="n">
        <x:v>49</x:v>
      </x:c>
      <x:c r="L172" s="21" t="str">
        <x:v>processed精确文本</x:v>
      </x:c>
    </x:row>
    <x:row r="173">
      <x:c r="A173" s="38" t="n">
        <x:v>17</x:v>
      </x:c>
      <x:c r="B173" s="23" t="str">
        <x:v>找出深圳奥特莱斯D-HRW-1和深圳奥特莱斯D-HRH-2这两个5G小区中，机械下倾角在3到9之间的小区名称、机械下倾角和电子下倾角。</x:v>
      </x:c>
      <x:c r="C173" s="23" t="str">
        <x:v>查询深圳奥特莱斯D-HRW-1和深圳奥特莱斯D-HRH-2这两个5G小区的工程参数，包括小区名称、机械下倾角和电子下倾角，筛选出机械下倾角在3到9之间的小区。</x:v>
      </x:c>
      <x:c r="D173" s="23" t="str">
        <x:v>Recipe - Qwen总结</x:v>
      </x:c>
      <x:c r="E173" s="23" t="str">
        <x:v>同一问题最后一次Qwen调用</x:v>
      </x:c>
      <x:c r="F173" s="21" t="n">
        <x:v>1</x:v>
      </x:c>
      <x:c r="G173" s="21" t="str">
        <x:v>2026-08-12T10:13:38.898</x:v>
      </x:c>
      <x:c r="H173" s="36" t="n">
        <x:v>1694.251</x:v>
      </x:c>
      <x:c r="I173" s="36" t="n">
        <x:f>H173/1000</x:f>
        <x:v>1.694251</x:v>
      </x:c>
      <x:c r="J173" s="21" t="str">
        <x:v>data2/qwen3_2.jsonl</x:v>
      </x:c>
      <x:c r="K173" s="21" t="n">
        <x:v>50</x:v>
      </x:c>
      <x:c r="L173" s="21" t="str">
        <x:v>processed精确文本</x:v>
      </x:c>
    </x:row>
    <x:row r="174">
      <x:c r="A174" s="38" t="n">
        <x:v>17</x:v>
      </x:c>
      <x:c r="B174" s="23" t="str">
        <x:v>找出深圳奥特莱斯D-HRW-1和深圳奥特莱斯D-HRH-2这两个5G小区中，机械下倾角在3到9之间的小区名称、机械下倾角和电子下倾角。</x:v>
      </x:c>
      <x:c r="C174" s="23" t="str">
        <x:v>查询深圳奥特莱斯D-HRW-1和深圳奥特莱斯D-HRH-2这两个5G小区的工程参数，包括小区名称、机械下倾角和电子下倾角，筛选出机械下倾角在3到9之间的小区。</x:v>
      </x:c>
      <x:c r="D174" s="23" t="str">
        <x:v>AICO总结</x:v>
      </x:c>
      <x:c r="E174" s="23" t="str">
        <x:v>无tool_calls</x:v>
      </x:c>
      <x:c r="F174" s="21" t="n">
        <x:v>1</x:v>
      </x:c>
      <x:c r="G174" s="21" t="str">
        <x:v>2026-08-12T10:13:40.855</x:v>
      </x:c>
      <x:c r="H174" s="36" t="n">
        <x:v>8795.191</x:v>
      </x:c>
      <x:c r="I174" s="36" t="n">
        <x:f>H174/1000</x:f>
        <x:v>8.795191</x:v>
      </x:c>
      <x:c r="J174" s="21" t="str">
        <x:v>data2/dsv4_2_aico.jsonl</x:v>
      </x:c>
      <x:c r="K174" s="21" t="n">
        <x:v>82</x:v>
      </x:c>
      <x:c r="L174" s="21" t="str">
        <x:v>original精确文本</x:v>
      </x:c>
    </x:row>
    <x:row r="175">
      <x:c r="A175" s="38" t="n">
        <x:v>17</x:v>
      </x:c>
      <x:c r="B175" s="23" t="str">
        <x:v>找出深圳奥特莱斯D-HRW-1和深圳奥特莱斯D-HRH-2这两个5G小区中，机械下倾角在3到9之间的小区名称、机械下倾角和电子下倾角。</x:v>
      </x:c>
      <x:c r="C175" s="23" t="str">
        <x:v>查询深圳奥特莱斯D-HRW-1和深圳奥特莱斯D-HRH-2这两个5G小区的工程参数，包括小区名称、机械下倾角和电子下倾角，筛选出机械下倾角在3到9之间的小区。</x:v>
      </x:c>
      <x:c r="D175" s="23" t="str">
        <x:v>问题推荐</x:v>
      </x:c>
      <x:c r="E175" s="23" t="str">
        <x:v>后续问题推荐</x:v>
      </x:c>
      <x:c r="F175" s="21" t="n">
        <x:v>1</x:v>
      </x:c>
      <x:c r="G175" s="21" t="str">
        <x:v>2026-08-12T10:13:50.028</x:v>
      </x:c>
      <x:c r="H175" s="36" t="n">
        <x:v>7846.024</x:v>
      </x:c>
      <x:c r="I175" s="36" t="n">
        <x:f>H175/1000</x:f>
        <x:v>7.846024000000001</x:v>
      </x:c>
      <x:c r="J175" s="21" t="str">
        <x:v>data2/dsv4_2_recipe_ds.jsonl</x:v>
      </x:c>
      <x:c r="K175" s="21" t="n">
        <x:v>42</x:v>
      </x:c>
      <x:c r="L175" s="21" t="str">
        <x:v>original精确文本</x:v>
      </x:c>
    </x:row>
    <x:row r="176">
      <x:c r="A176" s="38" t="n">
        <x:v>18</x:v>
      </x:c>
      <x:c r="B176" s="23" t="str">
        <x:v>看一下CBN-福州晋安-东浦新村4号楼C-HRHH站点下，方位角等于90且电子下倾角不超过6的小区，返回小区名称、方位角和电子下倾角。</x:v>
      </x:c>
      <x:c r="C176" s="23" t="str">
        <x:v>查询CBN-福州晋安-东浦新村4号楼C-HRHH站点下，方位角等于90且电子下倾角不超过6的小区，返回小区名称、方位角和电子下倾角。</x:v>
      </x:c>
      <x:c r="D176" s="23" t="str">
        <x:v>AICO Tool Call - Skill</x:v>
      </x:c>
      <x:c r="E176" s="23" t="str">
        <x:v>Skill</x:v>
      </x:c>
      <x:c r="F176" s="21" t="n">
        <x:v>1</x:v>
      </x:c>
      <x:c r="G176" s="21" t="str">
        <x:v>2026-08-12T10:13:50.877</x:v>
      </x:c>
      <x:c r="H176" s="36" t="n">
        <x:v>8668.65</x:v>
      </x:c>
      <x:c r="I176" s="36" t="n">
        <x:f>H176/1000</x:f>
        <x:v>8.66865</x:v>
      </x:c>
      <x:c r="J176" s="21" t="str">
        <x:v>data2/dsv4_2_aico.jsonl</x:v>
      </x:c>
      <x:c r="K176" s="21" t="n">
        <x:v>83</x:v>
      </x:c>
      <x:c r="L176" s="21" t="str">
        <x:v>original精确文本</x:v>
      </x:c>
    </x:row>
    <x:row r="177">
      <x:c r="A177" s="38" t="n">
        <x:v>18</x:v>
      </x:c>
      <x:c r="B177" s="23" t="str">
        <x:v>看一下CBN-福州晋安-东浦新村4号楼C-HRHH站点下，方位角等于90且电子下倾角不超过6的小区，返回小区名称、方位角和电子下倾角。</x:v>
      </x:c>
      <x:c r="C177" s="23" t="str">
        <x:v>查询CBN-福州晋安-东浦新村4号楼C-HRHH站点下，方位角等于90且电子下倾角不超过6的小区，返回小区名称、方位角和电子下倾角。</x:v>
      </x:c>
      <x:c r="D177" s="23" t="str">
        <x:v>AICO Tool Call - Workflow</x:v>
      </x:c>
      <x:c r="E177" s="23" t="str">
        <x:v>Workflow</x:v>
      </x:c>
      <x:c r="F177" s="21" t="n">
        <x:v>1</x:v>
      </x:c>
      <x:c r="G177" s="21" t="str">
        <x:v>2026-08-12T10:13:59.711</x:v>
      </x:c>
      <x:c r="H177" s="36" t="n">
        <x:v>5666.415</x:v>
      </x:c>
      <x:c r="I177" s="36" t="n">
        <x:f>H177/1000</x:f>
        <x:v>5.666415</x:v>
      </x:c>
      <x:c r="J177" s="21" t="str">
        <x:v>data2/dsv4_2_aico.jsonl</x:v>
      </x:c>
      <x:c r="K177" s="21" t="n">
        <x:v>84</x:v>
      </x:c>
      <x:c r="L177" s="21" t="str">
        <x:v>original精确文本</x:v>
      </x:c>
    </x:row>
    <x:row r="178">
      <x:c r="A178" s="38" t="n">
        <x:v>18</x:v>
      </x:c>
      <x:c r="B178" s="23" t="str">
        <x:v>看一下CBN-福州晋安-东浦新村4号楼C-HRHH站点下，方位角等于90且电子下倾角不超过6的小区，返回小区名称、方位角和电子下倾角。</x:v>
      </x:c>
      <x:c r="C178" s="23" t="str">
        <x:v>查询CBN-福州晋安-东浦新村4号楼C-HRHH站点下，方位角等于90且电子下倾角不超过6的小区，返回小区名称、方位角和电子下倾角。</x:v>
      </x:c>
      <x:c r="D178" s="23" t="str">
        <x:v>Recipe - DeepSeek</x:v>
      </x:c>
      <x:c r="E178" s="23" t="str">
        <x:v>DeepSeek recipe调用</x:v>
      </x:c>
      <x:c r="F178" s="21" t="n">
        <x:v>1</x:v>
      </x:c>
      <x:c r="G178" s="21" t="str">
        <x:v>2026-08-12T10:14:06.776</x:v>
      </x:c>
      <x:c r="H178" s="36" t="n">
        <x:v>4468.277</x:v>
      </x:c>
      <x:c r="I178" s="36" t="n">
        <x:f>H178/1000</x:f>
        <x:v>4.468277</x:v>
      </x:c>
      <x:c r="J178" s="21" t="str">
        <x:v>data2/dsv4_2_recipe_ds.jsonl</x:v>
      </x:c>
      <x:c r="K178" s="21" t="n">
        <x:v>43</x:v>
      </x:c>
      <x:c r="L178" s="21" t="str">
        <x:v>processed精确文本</x:v>
      </x:c>
    </x:row>
    <x:row r="179">
      <x:c r="A179" s="38" t="n">
        <x:v>18</x:v>
      </x:c>
      <x:c r="B179" s="23" t="str">
        <x:v>看一下CBN-福州晋安-东浦新村4号楼C-HRHH站点下，方位角等于90且电子下倾角不超过6的小区，返回小区名称、方位角和电子下倾角。</x:v>
      </x:c>
      <x:c r="C179" s="23" t="str">
        <x:v>查询CBN-福州晋安-东浦新村4号楼C-HRHH站点下，方位角等于90且电子下倾角不超过6的小区，返回小区名称、方位角和电子下倾角。</x:v>
      </x:c>
      <x:c r="D179" s="23" t="str">
        <x:v>Recipe - Qwen执行</x:v>
      </x:c>
      <x:c r="E179" s="23" t="str">
        <x:v>同一问题第1次Qwen调用</x:v>
      </x:c>
      <x:c r="F179" s="21" t="n">
        <x:v>1</x:v>
      </x:c>
      <x:c r="G179" s="21" t="str">
        <x:v>2026-08-12T10:14:11.572</x:v>
      </x:c>
      <x:c r="H179" s="36" t="n">
        <x:v>1556.825</x:v>
      </x:c>
      <x:c r="I179" s="36" t="n">
        <x:f>H179/1000</x:f>
        <x:v>1.5568250000000001</x:v>
      </x:c>
      <x:c r="J179" s="21" t="str">
        <x:v>data2/qwen3_2.jsonl</x:v>
      </x:c>
      <x:c r="K179" s="21" t="n">
        <x:v>51</x:v>
      </x:c>
      <x:c r="L179" s="21" t="str">
        <x:v>processed精确文本</x:v>
      </x:c>
    </x:row>
    <x:row r="180">
      <x:c r="A180" s="38" t="n">
        <x:v>18</x:v>
      </x:c>
      <x:c r="B180" s="23" t="str">
        <x:v>看一下CBN-福州晋安-东浦新村4号楼C-HRHH站点下，方位角等于90且电子下倾角不超过6的小区，返回小区名称、方位角和电子下倾角。</x:v>
      </x:c>
      <x:c r="C180" s="23" t="str">
        <x:v>查询CBN-福州晋安-东浦新村4号楼C-HRHH站点下，方位角等于90且电子下倾角不超过6的小区，返回小区名称、方位角和电子下倾角。</x:v>
      </x:c>
      <x:c r="D180" s="23" t="str">
        <x:v>Recipe - Qwen总结</x:v>
      </x:c>
      <x:c r="E180" s="23" t="str">
        <x:v>同一问题最后一次Qwen调用</x:v>
      </x:c>
      <x:c r="F180" s="21" t="n">
        <x:v>1</x:v>
      </x:c>
      <x:c r="G180" s="21" t="str">
        <x:v>2026-08-12T10:14:13.666</x:v>
      </x:c>
      <x:c r="H180" s="36" t="n">
        <x:v>4445.518</x:v>
      </x:c>
      <x:c r="I180" s="36" t="n">
        <x:f>H180/1000</x:f>
        <x:v>4.445518</x:v>
      </x:c>
      <x:c r="J180" s="21" t="str">
        <x:v>data2/qwen3_2.jsonl</x:v>
      </x:c>
      <x:c r="K180" s="21" t="n">
        <x:v>52</x:v>
      </x:c>
      <x:c r="L180" s="21" t="str">
        <x:v>processed精确文本</x:v>
      </x:c>
    </x:row>
    <x:row r="181">
      <x:c r="A181" s="38" t="n">
        <x:v>18</x:v>
      </x:c>
      <x:c r="B181" s="23" t="str">
        <x:v>看一下CBN-福州晋安-东浦新村4号楼C-HRHH站点下，方位角等于90且电子下倾角不超过6的小区，返回小区名称、方位角和电子下倾角。</x:v>
      </x:c>
      <x:c r="C181" s="23" t="str">
        <x:v>查询CBN-福州晋安-东浦新村4号楼C-HRHH站点下，方位角等于90且电子下倾角不超过6的小区，返回小区名称、方位角和电子下倾角。</x:v>
      </x:c>
      <x:c r="D181" s="23" t="str">
        <x:v>AICO总结</x:v>
      </x:c>
      <x:c r="E181" s="23" t="str">
        <x:v>无tool_calls</x:v>
      </x:c>
      <x:c r="F181" s="21" t="n">
        <x:v>1</x:v>
      </x:c>
      <x:c r="G181" s="21" t="str">
        <x:v>2026-08-12T10:14:18.383</x:v>
      </x:c>
      <x:c r="H181" s="36" t="n">
        <x:v>5342.417</x:v>
      </x:c>
      <x:c r="I181" s="36" t="n">
        <x:f>H181/1000</x:f>
        <x:v>5.342417</x:v>
      </x:c>
      <x:c r="J181" s="21" t="str">
        <x:v>data2/dsv4_2_aico.jsonl</x:v>
      </x:c>
      <x:c r="K181" s="21" t="n">
        <x:v>85</x:v>
      </x:c>
      <x:c r="L181" s="21" t="str">
        <x:v>original精确文本</x:v>
      </x:c>
    </x:row>
    <x:row r="182">
      <x:c r="A182" s="38" t="n">
        <x:v>18</x:v>
      </x:c>
      <x:c r="B182" s="23" t="str">
        <x:v>看一下CBN-福州晋安-东浦新村4号楼C-HRHH站点下，方位角等于90且电子下倾角不超过6的小区，返回小区名称、方位角和电子下倾角。</x:v>
      </x:c>
      <x:c r="C182" s="23" t="str">
        <x:v>查询CBN-福州晋安-东浦新村4号楼C-HRHH站点下，方位角等于90且电子下倾角不超过6的小区，返回小区名称、方位角和电子下倾角。</x:v>
      </x:c>
      <x:c r="D182" s="23" t="str">
        <x:v>问题推荐</x:v>
      </x:c>
      <x:c r="E182" s="23" t="str">
        <x:v>后续问题推荐</x:v>
      </x:c>
      <x:c r="F182" s="21" t="n">
        <x:v>1</x:v>
      </x:c>
      <x:c r="G182" s="21" t="str">
        <x:v>2026-08-12T10:14:24.021</x:v>
      </x:c>
      <x:c r="H182" s="36" t="n">
        <x:v>5142.923</x:v>
      </x:c>
      <x:c r="I182" s="36" t="n">
        <x:f>H182/1000</x:f>
        <x:v>5.142923</x:v>
      </x:c>
      <x:c r="J182" s="21" t="str">
        <x:v>data2/dsv4_2_recipe_ds.jsonl</x:v>
      </x:c>
      <x:c r="K182" s="21" t="n">
        <x:v>44</x:v>
      </x:c>
      <x:c r="L182" s="21" t="str">
        <x:v>original精确文本</x:v>
      </x:c>
    </x:row>
    <x:row r="183">
      <x:c r="A183" s="38" t="n">
        <x:v>19</x:v>
      </x:c>
      <x:c r="B183" s="23" t="str">
        <x:v>帮我筛一下深圳东海岸三D-HRH和深圳大梅沙海滨公园D-HRW-1这两个站点下，天线高度为20或25米的小区，返回小区名称、天线高度和站点名称。</x:v>
      </x:c>
      <x:c r="C183" s="23" t="str">
        <x:v>查询深圳东海岸三D-HRH和深圳大梅沙海滨公园D-HRW-1这两个站点下，天线高度为20或25米的小区，返回小区名称、天线高度和站点名称</x:v>
      </x:c>
      <x:c r="D183" s="23" t="str">
        <x:v>AICO Tool Call - Skill</x:v>
      </x:c>
      <x:c r="E183" s="23" t="str">
        <x:v>Skill</x:v>
      </x:c>
      <x:c r="F183" s="21" t="n">
        <x:v>1</x:v>
      </x:c>
      <x:c r="G183" s="21" t="str">
        <x:v>2026-08-12T10:14:24.929</x:v>
      </x:c>
      <x:c r="H183" s="36" t="n">
        <x:v>5879.142</x:v>
      </x:c>
      <x:c r="I183" s="36" t="n">
        <x:f>H183/1000</x:f>
        <x:v>5.879142</x:v>
      </x:c>
      <x:c r="J183" s="21" t="str">
        <x:v>data2/dsv4_2_aico.jsonl</x:v>
      </x:c>
      <x:c r="K183" s="21" t="n">
        <x:v>86</x:v>
      </x:c>
      <x:c r="L183" s="21" t="str">
        <x:v>original精确文本</x:v>
      </x:c>
    </x:row>
    <x:row r="184">
      <x:c r="A184" s="38" t="n">
        <x:v>19</x:v>
      </x:c>
      <x:c r="B184" s="23" t="str">
        <x:v>帮我筛一下深圳东海岸三D-HRH和深圳大梅沙海滨公园D-HRW-1这两个站点下，天线高度为20或25米的小区，返回小区名称、天线高度和站点名称。</x:v>
      </x:c>
      <x:c r="C184" s="23" t="str">
        <x:v>查询深圳东海岸三D-HRH和深圳大梅沙海滨公园D-HRW-1这两个站点下，天线高度为20或25米的小区，返回小区名称、天线高度和站点名称</x:v>
      </x:c>
      <x:c r="D184" s="23" t="str">
        <x:v>AICO Tool Call - Workflow</x:v>
      </x:c>
      <x:c r="E184" s="23" t="str">
        <x:v>Workflow</x:v>
      </x:c>
      <x:c r="F184" s="21" t="n">
        <x:v>1</x:v>
      </x:c>
      <x:c r="G184" s="21" t="str">
        <x:v>2026-08-12T10:14:30.979</x:v>
      </x:c>
      <x:c r="H184" s="36" t="n">
        <x:v>5625.571</x:v>
      </x:c>
      <x:c r="I184" s="36" t="n">
        <x:f>H184/1000</x:f>
        <x:v>5.625571</x:v>
      </x:c>
      <x:c r="J184" s="21" t="str">
        <x:v>data2/dsv4_2_aico.jsonl</x:v>
      </x:c>
      <x:c r="K184" s="21" t="n">
        <x:v>87</x:v>
      </x:c>
      <x:c r="L184" s="21" t="str">
        <x:v>original精确文本</x:v>
      </x:c>
    </x:row>
    <x:row r="185">
      <x:c r="A185" s="38" t="n">
        <x:v>19</x:v>
      </x:c>
      <x:c r="B185" s="23" t="str">
        <x:v>帮我筛一下深圳东海岸三D-HRH和深圳大梅沙海滨公园D-HRW-1这两个站点下，天线高度为20或25米的小区，返回小区名称、天线高度和站点名称。</x:v>
      </x:c>
      <x:c r="C185" s="23" t="str">
        <x:v>查询深圳东海岸三D-HRH和深圳大梅沙海滨公园D-HRW-1这两个站点下，天线高度为20或25米的小区，返回小区名称、天线高度和站点名称</x:v>
      </x:c>
      <x:c r="D185" s="23" t="str">
        <x:v>Recipe - DeepSeek</x:v>
      </x:c>
      <x:c r="E185" s="23" t="str">
        <x:v>DeepSeek recipe调用</x:v>
      </x:c>
      <x:c r="F185" s="21" t="n">
        <x:v>1</x:v>
      </x:c>
      <x:c r="G185" s="21" t="str">
        <x:v>2026-08-12T10:14:37.965</x:v>
      </x:c>
      <x:c r="H185" s="36" t="n">
        <x:v>4026.666</x:v>
      </x:c>
      <x:c r="I185" s="36" t="n">
        <x:f>H185/1000</x:f>
        <x:v>4.0266660000000005</x:v>
      </x:c>
      <x:c r="J185" s="21" t="str">
        <x:v>data2/dsv4_2_recipe_ds.jsonl</x:v>
      </x:c>
      <x:c r="K185" s="21" t="n">
        <x:v>45</x:v>
      </x:c>
      <x:c r="L185" s="21" t="str">
        <x:v>processed精确文本</x:v>
      </x:c>
    </x:row>
    <x:row r="186">
      <x:c r="A186" s="38" t="n">
        <x:v>19</x:v>
      </x:c>
      <x:c r="B186" s="23" t="str">
        <x:v>帮我筛一下深圳东海岸三D-HRH和深圳大梅沙海滨公园D-HRW-1这两个站点下，天线高度为20或25米的小区，返回小区名称、天线高度和站点名称。</x:v>
      </x:c>
      <x:c r="C186" s="23" t="str">
        <x:v>查询深圳东海岸三D-HRH和深圳大梅沙海滨公园D-HRW-1这两个站点下，天线高度为20或25米的小区，返回小区名称、天线高度和站点名称</x:v>
      </x:c>
      <x:c r="D186" s="23" t="str">
        <x:v>Recipe - Qwen执行</x:v>
      </x:c>
      <x:c r="E186" s="23" t="str">
        <x:v>同一问题第1次Qwen调用</x:v>
      </x:c>
      <x:c r="F186" s="21" t="n">
        <x:v>1</x:v>
      </x:c>
      <x:c r="G186" s="21" t="str">
        <x:v>2026-08-12T10:14:42.318</x:v>
      </x:c>
      <x:c r="H186" s="36" t="n">
        <x:v>1605.528</x:v>
      </x:c>
      <x:c r="I186" s="36" t="n">
        <x:f>H186/1000</x:f>
        <x:v>1.605528</x:v>
      </x:c>
      <x:c r="J186" s="21" t="str">
        <x:v>data2/qwen3_2.jsonl</x:v>
      </x:c>
      <x:c r="K186" s="21" t="n">
        <x:v>53</x:v>
      </x:c>
      <x:c r="L186" s="21" t="str">
        <x:v>processed精确文本</x:v>
      </x:c>
    </x:row>
    <x:row r="187">
      <x:c r="A187" s="38" t="n">
        <x:v>19</x:v>
      </x:c>
      <x:c r="B187" s="23" t="str">
        <x:v>帮我筛一下深圳东海岸三D-HRH和深圳大梅沙海滨公园D-HRW-1这两个站点下，天线高度为20或25米的小区，返回小区名称、天线高度和站点名称。</x:v>
      </x:c>
      <x:c r="C187" s="23" t="str">
        <x:v>查询深圳东海岸三D-HRH和深圳大梅沙海滨公园D-HRW-1这两个站点下，天线高度为20或25米的小区，返回小区名称、天线高度和站点名称</x:v>
      </x:c>
      <x:c r="D187" s="23" t="str">
        <x:v>Recipe - Qwen总结</x:v>
      </x:c>
      <x:c r="E187" s="23" t="str">
        <x:v>同一问题最后一次Qwen调用</x:v>
      </x:c>
      <x:c r="F187" s="21" t="n">
        <x:v>1</x:v>
      </x:c>
      <x:c r="G187" s="21" t="str">
        <x:v>2026-08-12T10:14:44.403</x:v>
      </x:c>
      <x:c r="H187" s="36" t="n">
        <x:v>2539.553</x:v>
      </x:c>
      <x:c r="I187" s="36" t="n">
        <x:f>H187/1000</x:f>
        <x:v>2.5395529999999997</x:v>
      </x:c>
      <x:c r="J187" s="21" t="str">
        <x:v>data2/qwen3_2.jsonl</x:v>
      </x:c>
      <x:c r="K187" s="21" t="n">
        <x:v>54</x:v>
      </x:c>
      <x:c r="L187" s="21" t="str">
        <x:v>processed精确文本</x:v>
      </x:c>
    </x:row>
    <x:row r="188">
      <x:c r="A188" s="38" t="n">
        <x:v>19</x:v>
      </x:c>
      <x:c r="B188" s="23" t="str">
        <x:v>帮我筛一下深圳东海岸三D-HRH和深圳大梅沙海滨公园D-HRW-1这两个站点下，天线高度为20或25米的小区，返回小区名称、天线高度和站点名称。</x:v>
      </x:c>
      <x:c r="C188" s="23" t="str">
        <x:v>查询深圳东海岸三D-HRH和深圳大梅沙海滨公园D-HRW-1这两个站点下，天线高度为20或25米的小区，返回小区名称、天线高度和站点名称</x:v>
      </x:c>
      <x:c r="D188" s="23" t="str">
        <x:v>AICO总结</x:v>
      </x:c>
      <x:c r="E188" s="23" t="str">
        <x:v>无tool_calls</x:v>
      </x:c>
      <x:c r="F188" s="21" t="n">
        <x:v>1</x:v>
      </x:c>
      <x:c r="G188" s="21" t="str">
        <x:v>2026-08-12T10:14:47.210</x:v>
      </x:c>
      <x:c r="H188" s="36" t="n">
        <x:v>6442.729</x:v>
      </x:c>
      <x:c r="I188" s="36" t="n">
        <x:f>H188/1000</x:f>
        <x:v>6.442729</x:v>
      </x:c>
      <x:c r="J188" s="21" t="str">
        <x:v>data2/dsv4_2_aico.jsonl</x:v>
      </x:c>
      <x:c r="K188" s="21" t="n">
        <x:v>88</x:v>
      </x:c>
      <x:c r="L188" s="21" t="str">
        <x:v>original精确文本</x:v>
      </x:c>
    </x:row>
    <x:row r="189">
      <x:c r="A189" s="38" t="n">
        <x:v>19</x:v>
      </x:c>
      <x:c r="B189" s="23" t="str">
        <x:v>帮我筛一下深圳东海岸三D-HRH和深圳大梅沙海滨公园D-HRW-1这两个站点下，天线高度为20或25米的小区，返回小区名称、天线高度和站点名称。</x:v>
      </x:c>
      <x:c r="C189" s="23" t="str">
        <x:v>查询深圳东海岸三D-HRH和深圳大梅沙海滨公园D-HRW-1这两个站点下，天线高度为20或25米的小区，返回小区名称、天线高度和站点名称</x:v>
      </x:c>
      <x:c r="D189" s="23" t="str">
        <x:v>问题推荐</x:v>
      </x:c>
      <x:c r="E189" s="23" t="str">
        <x:v>后续问题推荐</x:v>
      </x:c>
      <x:c r="F189" s="21" t="n">
        <x:v>1</x:v>
      </x:c>
      <x:c r="G189" s="21" t="str">
        <x:v>2026-08-12T10:14:53.935</x:v>
      </x:c>
      <x:c r="H189" s="36" t="n">
        <x:v>8568.829</x:v>
      </x:c>
      <x:c r="I189" s="36" t="n">
        <x:f>H189/1000</x:f>
        <x:v>8.568829</x:v>
      </x:c>
      <x:c r="J189" s="21" t="str">
        <x:v>data2/dsv4_2_recipe_ds.jsonl</x:v>
      </x:c>
      <x:c r="K189" s="21" t="n">
        <x:v>46</x:v>
      </x:c>
      <x:c r="L189" s="21" t="str">
        <x:v>original精确文本</x:v>
      </x:c>
    </x:row>
    <x:row r="190">
      <x:c r="A190" s="38" t="n">
        <x:v>20</x:v>
      </x:c>
      <x:c r="B190" s="23" t="str">
        <x:v>确认一下CBN-深圳大梅沙二U-H5H-0711这个NR小区，如果方位角不是180度，返回它的小区名称、方位角和经度。</x:v>
      </x:c>
      <x:c r="C190" s="23" t="str">
        <x:v>查询CBN-深圳大梅沙二U-H5H-0711这个NR小区的工程参数，包括小区名称、方位角、经度。</x:v>
      </x:c>
      <x:c r="D190" s="23" t="str">
        <x:v>AICO Tool Call - Skill</x:v>
      </x:c>
      <x:c r="E190" s="23" t="str">
        <x:v>Skill</x:v>
      </x:c>
      <x:c r="F190" s="21" t="n">
        <x:v>1</x:v>
      </x:c>
      <x:c r="G190" s="21" t="str">
        <x:v>2026-08-12T10:14:54.844</x:v>
      </x:c>
      <x:c r="H190" s="36" t="n">
        <x:v>8505.856</x:v>
      </x:c>
      <x:c r="I190" s="36" t="n">
        <x:f>H190/1000</x:f>
        <x:v>8.505856</x:v>
      </x:c>
      <x:c r="J190" s="21" t="str">
        <x:v>data2/dsv4_2_aico.jsonl</x:v>
      </x:c>
      <x:c r="K190" s="21" t="n">
        <x:v>89</x:v>
      </x:c>
      <x:c r="L190" s="21" t="str">
        <x:v>original精确文本</x:v>
      </x:c>
    </x:row>
    <x:row r="191">
      <x:c r="A191" s="38" t="n">
        <x:v>20</x:v>
      </x:c>
      <x:c r="B191" s="23" t="str">
        <x:v>确认一下CBN-深圳大梅沙二U-H5H-0711这个NR小区，如果方位角不是180度，返回它的小区名称、方位角和经度。</x:v>
      </x:c>
      <x:c r="C191" s="23" t="str">
        <x:v>查询CBN-深圳大梅沙二U-H5H-0711这个NR小区的工程参数，包括小区名称、方位角、经度。</x:v>
      </x:c>
      <x:c r="D191" s="23" t="str">
        <x:v>AICO Tool Call - Workflow</x:v>
      </x:c>
      <x:c r="E191" s="23" t="str">
        <x:v>Workflow</x:v>
      </x:c>
      <x:c r="F191" s="21" t="n">
        <x:v>1</x:v>
      </x:c>
      <x:c r="G191" s="21" t="str">
        <x:v>2026-08-12T10:15:03.515</x:v>
      </x:c>
      <x:c r="H191" s="36" t="n">
        <x:v>5263.595</x:v>
      </x:c>
      <x:c r="I191" s="36" t="n">
        <x:f>H191/1000</x:f>
        <x:v>5.2635950000000005</x:v>
      </x:c>
      <x:c r="J191" s="21" t="str">
        <x:v>data2/dsv4_2_aico.jsonl</x:v>
      </x:c>
      <x:c r="K191" s="21" t="n">
        <x:v>90</x:v>
      </x:c>
      <x:c r="L191" s="21" t="str">
        <x:v>original精确文本</x:v>
      </x:c>
    </x:row>
    <x:row r="192">
      <x:c r="A192" s="38" t="n">
        <x:v>20</x:v>
      </x:c>
      <x:c r="B192" s="23" t="str">
        <x:v>确认一下CBN-深圳大梅沙二U-H5H-0711这个NR小区，如果方位角不是180度，返回它的小区名称、方位角和经度。</x:v>
      </x:c>
      <x:c r="C192" s="23" t="str">
        <x:v>查询CBN-深圳大梅沙二U-H5H-0711这个NR小区的工程参数，包括小区名称、方位角、经度。</x:v>
      </x:c>
      <x:c r="D192" s="23" t="str">
        <x:v>Recipe - DeepSeek</x:v>
      </x:c>
      <x:c r="E192" s="23" t="str">
        <x:v>DeepSeek recipe调用</x:v>
      </x:c>
      <x:c r="F192" s="21" t="n">
        <x:v>1</x:v>
      </x:c>
      <x:c r="G192" s="21" t="str">
        <x:v>2026-08-12T10:15:10.281</x:v>
      </x:c>
      <x:c r="H192" s="36" t="n">
        <x:v>3315.321</x:v>
      </x:c>
      <x:c r="I192" s="36" t="n">
        <x:f>H192/1000</x:f>
        <x:v>3.315321</x:v>
      </x:c>
      <x:c r="J192" s="21" t="str">
        <x:v>data2/dsv4_2_recipe_ds.jsonl</x:v>
      </x:c>
      <x:c r="K192" s="21" t="n">
        <x:v>47</x:v>
      </x:c>
      <x:c r="L192" s="21" t="str">
        <x:v>processed精确文本</x:v>
      </x:c>
    </x:row>
    <x:row r="193">
      <x:c r="A193" s="38" t="n">
        <x:v>20</x:v>
      </x:c>
      <x:c r="B193" s="23" t="str">
        <x:v>确认一下CBN-深圳大梅沙二U-H5H-0711这个NR小区，如果方位角不是180度，返回它的小区名称、方位角和经度。</x:v>
      </x:c>
      <x:c r="C193" s="23" t="str">
        <x:v>查询CBN-深圳大梅沙二U-H5H-0711这个NR小区的工程参数，包括小区名称、方位角、经度。</x:v>
      </x:c>
      <x:c r="D193" s="23" t="str">
        <x:v>Recipe - Qwen执行</x:v>
      </x:c>
      <x:c r="E193" s="23" t="str">
        <x:v>同一问题第1次Qwen调用</x:v>
      </x:c>
      <x:c r="F193" s="21" t="n">
        <x:v>1</x:v>
      </x:c>
      <x:c r="G193" s="21" t="str">
        <x:v>2026-08-12T10:15:13.957</x:v>
      </x:c>
      <x:c r="H193" s="36" t="n">
        <x:v>1372.456</x:v>
      </x:c>
      <x:c r="I193" s="36" t="n">
        <x:f>H193/1000</x:f>
        <x:v>1.372456</x:v>
      </x:c>
      <x:c r="J193" s="21" t="str">
        <x:v>data2/qwen3_2.jsonl</x:v>
      </x:c>
      <x:c r="K193" s="21" t="n">
        <x:v>55</x:v>
      </x:c>
      <x:c r="L193" s="21" t="str">
        <x:v>processed精确文本</x:v>
      </x:c>
    </x:row>
    <x:row r="194">
      <x:c r="A194" s="38" t="n">
        <x:v>20</x:v>
      </x:c>
      <x:c r="B194" s="23" t="str">
        <x:v>确认一下CBN-深圳大梅沙二U-H5H-0711这个NR小区，如果方位角不是180度，返回它的小区名称、方位角和经度。</x:v>
      </x:c>
      <x:c r="C194" s="23" t="str">
        <x:v>查询CBN-深圳大梅沙二U-H5H-0711这个NR小区的工程参数，包括小区名称、方位角、经度。</x:v>
      </x:c>
      <x:c r="D194" s="23" t="str">
        <x:v>Recipe - Qwen总结</x:v>
      </x:c>
      <x:c r="E194" s="23" t="str">
        <x:v>同一问题最后一次Qwen调用</x:v>
      </x:c>
      <x:c r="F194" s="21" t="n">
        <x:v>1</x:v>
      </x:c>
      <x:c r="G194" s="21" t="str">
        <x:v>2026-08-12T10:15:15.840</x:v>
      </x:c>
      <x:c r="H194" s="36" t="n">
        <x:v>1468.038</x:v>
      </x:c>
      <x:c r="I194" s="36" t="n">
        <x:f>H194/1000</x:f>
        <x:v>1.468038</x:v>
      </x:c>
      <x:c r="J194" s="21" t="str">
        <x:v>data2/qwen3_2.jsonl</x:v>
      </x:c>
      <x:c r="K194" s="21" t="n">
        <x:v>56</x:v>
      </x:c>
      <x:c r="L194" s="21" t="str">
        <x:v>processed精确文本</x:v>
      </x:c>
    </x:row>
    <x:row r="195">
      <x:c r="A195" s="38" t="n">
        <x:v>20</x:v>
      </x:c>
      <x:c r="B195" s="23" t="str">
        <x:v>确认一下CBN-深圳大梅沙二U-H5H-0711这个NR小区，如果方位角不是180度，返回它的小区名称、方位角和经度。</x:v>
      </x:c>
      <x:c r="C195" s="23" t="str">
        <x:v>查询CBN-深圳大梅沙二U-H5H-0711这个NR小区的工程参数，包括小区名称、方位角、经度。</x:v>
      </x:c>
      <x:c r="D195" s="23" t="str">
        <x:v>AICO总结</x:v>
      </x:c>
      <x:c r="E195" s="23" t="str">
        <x:v>无tool_calls</x:v>
      </x:c>
      <x:c r="F195" s="21" t="n">
        <x:v>1</x:v>
      </x:c>
      <x:c r="G195" s="21" t="str">
        <x:v>2026-08-12T10:15:17.591</x:v>
      </x:c>
      <x:c r="H195" s="36" t="n">
        <x:v>7244.581</x:v>
      </x:c>
      <x:c r="I195" s="36" t="n">
        <x:f>H195/1000</x:f>
        <x:v>7.244581</x:v>
      </x:c>
      <x:c r="J195" s="21" t="str">
        <x:v>data2/dsv4_2_aico.jsonl</x:v>
      </x:c>
      <x:c r="K195" s="21" t="n">
        <x:v>91</x:v>
      </x:c>
      <x:c r="L195" s="21" t="str">
        <x:v>original精确文本</x:v>
      </x:c>
    </x:row>
    <x:row r="196">
      <x:c r="A196" s="38" t="n">
        <x:v>20</x:v>
      </x:c>
      <x:c r="B196" s="23" t="str">
        <x:v>确认一下CBN-深圳大梅沙二U-H5H-0711这个NR小区，如果方位角不是180度，返回它的小区名称、方位角和经度。</x:v>
      </x:c>
      <x:c r="C196" s="23" t="str">
        <x:v>查询CBN-深圳大梅沙二U-H5H-0711这个NR小区的工程参数，包括小区名称、方位角、经度。</x:v>
      </x:c>
      <x:c r="D196" s="23" t="str">
        <x:v>问题推荐</x:v>
      </x:c>
      <x:c r="E196" s="23" t="str">
        <x:v>后续问题推荐</x:v>
      </x:c>
      <x:c r="F196" s="21" t="n">
        <x:v>1</x:v>
      </x:c>
      <x:c r="G196" s="21" t="str">
        <x:v>2026-08-12T10:15:25.125</x:v>
      </x:c>
      <x:c r="H196" s="36" t="n">
        <x:v>5314.29</x:v>
      </x:c>
      <x:c r="I196" s="36" t="n">
        <x:f>H196/1000</x:f>
        <x:v>5.31429</x:v>
      </x:c>
      <x:c r="J196" s="21" t="str">
        <x:v>data2/dsv4_2_recipe_ds.jsonl</x:v>
      </x:c>
      <x:c r="K196" s="21" t="n">
        <x:v>48</x:v>
      </x:c>
      <x:c r="L196" s="21" t="str">
        <x:v>original精确文本</x:v>
      </x:c>
    </x:row>
    <x:row r="197">
      <x:c r="A197" s="38" t="n">
        <x:v>21</x:v>
      </x:c>
      <x:c r="B197" s="23" t="str">
        <x:v>帮我查一下 CBN-福州仓山-永南路与站后路交叉口C-HRHH-515 小区的方位角和机械下倾角。</x:v>
      </x:c>
      <x:c r="C197" s="23" t="str">
        <x:v>查询小区 CBN-福州仓山-永南路与站后路交叉口C-HRHH-515 的方位角和机械下倾角</x:v>
      </x:c>
      <x:c r="D197" s="23" t="str">
        <x:v>AICO Tool Call - Skill</x:v>
      </x:c>
      <x:c r="E197" s="23" t="str">
        <x:v>Skill</x:v>
      </x:c>
      <x:c r="F197" s="21" t="n">
        <x:v>1</x:v>
      </x:c>
      <x:c r="G197" s="21" t="str">
        <x:v>2026-08-12T10:15:26.036</x:v>
      </x:c>
      <x:c r="H197" s="36" t="n">
        <x:v>5662.635</x:v>
      </x:c>
      <x:c r="I197" s="36" t="n">
        <x:f>H197/1000</x:f>
        <x:v>5.662635</x:v>
      </x:c>
      <x:c r="J197" s="21" t="str">
        <x:v>data2/dsv4_2_aico.jsonl</x:v>
      </x:c>
      <x:c r="K197" s="21" t="n">
        <x:v>92</x:v>
      </x:c>
      <x:c r="L197" s="21" t="str">
        <x:v>original精确文本</x:v>
      </x:c>
    </x:row>
    <x:row r="198">
      <x:c r="A198" s="38" t="n">
        <x:v>21</x:v>
      </x:c>
      <x:c r="B198" s="23" t="str">
        <x:v>帮我查一下 CBN-福州仓山-永南路与站后路交叉口C-HRHH-515 小区的方位角和机械下倾角。</x:v>
      </x:c>
      <x:c r="C198" s="23" t="str">
        <x:v>查询小区 CBN-福州仓山-永南路与站后路交叉口C-HRHH-515 的方位角和机械下倾角</x:v>
      </x:c>
      <x:c r="D198" s="23" t="str">
        <x:v>AICO Tool Call - Workflow</x:v>
      </x:c>
      <x:c r="E198" s="23" t="str">
        <x:v>Workflow</x:v>
      </x:c>
      <x:c r="F198" s="21" t="n">
        <x:v>1</x:v>
      </x:c>
      <x:c r="G198" s="21" t="str">
        <x:v>2026-08-12T10:15:31.855</x:v>
      </x:c>
      <x:c r="H198" s="36" t="n">
        <x:v>5329.629</x:v>
      </x:c>
      <x:c r="I198" s="36" t="n">
        <x:f>H198/1000</x:f>
        <x:v>5.329629</x:v>
      </x:c>
      <x:c r="J198" s="21" t="str">
        <x:v>data2/dsv4_2_aico.jsonl</x:v>
      </x:c>
      <x:c r="K198" s="21" t="n">
        <x:v>93</x:v>
      </x:c>
      <x:c r="L198" s="21" t="str">
        <x:v>original精确文本</x:v>
      </x:c>
    </x:row>
    <x:row r="199">
      <x:c r="A199" s="38" t="n">
        <x:v>21</x:v>
      </x:c>
      <x:c r="B199" s="23" t="str">
        <x:v>帮我查一下 CBN-福州仓山-永南路与站后路交叉口C-HRHH-515 小区的方位角和机械下倾角。</x:v>
      </x:c>
      <x:c r="C199" s="23" t="str">
        <x:v>查询小区 CBN-福州仓山-永南路与站后路交叉口C-HRHH-515 的方位角和机械下倾角</x:v>
      </x:c>
      <x:c r="D199" s="23" t="str">
        <x:v>Recipe - DeepSeek</x:v>
      </x:c>
      <x:c r="E199" s="23" t="str">
        <x:v>DeepSeek recipe调用</x:v>
      </x:c>
      <x:c r="F199" s="21" t="n">
        <x:v>1</x:v>
      </x:c>
      <x:c r="G199" s="21" t="str">
        <x:v>2026-08-12T10:15:38.670</x:v>
      </x:c>
      <x:c r="H199" s="36" t="n">
        <x:v>3389.321</x:v>
      </x:c>
      <x:c r="I199" s="36" t="n">
        <x:f>H199/1000</x:f>
        <x:v>3.389321</x:v>
      </x:c>
      <x:c r="J199" s="21" t="str">
        <x:v>data2/dsv4_2_recipe_ds.jsonl</x:v>
      </x:c>
      <x:c r="K199" s="21" t="n">
        <x:v>49</x:v>
      </x:c>
      <x:c r="L199" s="21" t="str">
        <x:v>processed精确文本</x:v>
      </x:c>
    </x:row>
    <x:row r="200">
      <x:c r="A200" s="38" t="n">
        <x:v>21</x:v>
      </x:c>
      <x:c r="B200" s="23" t="str">
        <x:v>帮我查一下 CBN-福州仓山-永南路与站后路交叉口C-HRHH-515 小区的方位角和机械下倾角。</x:v>
      </x:c>
      <x:c r="C200" s="23" t="str">
        <x:v>查询小区 CBN-福州仓山-永南路与站后路交叉口C-HRHH-515 的方位角和机械下倾角</x:v>
      </x:c>
      <x:c r="D200" s="23" t="str">
        <x:v>Recipe - Qwen执行</x:v>
      </x:c>
      <x:c r="E200" s="23" t="str">
        <x:v>同一问题第1次Qwen调用</x:v>
      </x:c>
      <x:c r="F200" s="21" t="n">
        <x:v>1</x:v>
      </x:c>
      <x:c r="G200" s="21" t="str">
        <x:v>2026-08-12T10:15:42.386</x:v>
      </x:c>
      <x:c r="H200" s="36" t="n">
        <x:v>1300.594</x:v>
      </x:c>
      <x:c r="I200" s="36" t="n">
        <x:f>H200/1000</x:f>
        <x:v>1.300594</x:v>
      </x:c>
      <x:c r="J200" s="21" t="str">
        <x:v>data2/qwen3_2.jsonl</x:v>
      </x:c>
      <x:c r="K200" s="21" t="n">
        <x:v>57</x:v>
      </x:c>
      <x:c r="L200" s="21" t="str">
        <x:v>processed精确文本</x:v>
      </x:c>
    </x:row>
    <x:row r="201">
      <x:c r="A201" s="38" t="n">
        <x:v>21</x:v>
      </x:c>
      <x:c r="B201" s="23" t="str">
        <x:v>帮我查一下 CBN-福州仓山-永南路与站后路交叉口C-HRHH-515 小区的方位角和机械下倾角。</x:v>
      </x:c>
      <x:c r="C201" s="23" t="str">
        <x:v>查询小区 CBN-福州仓山-永南路与站后路交叉口C-HRHH-515 的方位角和机械下倾角</x:v>
      </x:c>
      <x:c r="D201" s="23" t="str">
        <x:v>Recipe - Qwen总结</x:v>
      </x:c>
      <x:c r="E201" s="23" t="str">
        <x:v>同一问题最后一次Qwen调用</x:v>
      </x:c>
      <x:c r="F201" s="21" t="n">
        <x:v>1</x:v>
      </x:c>
      <x:c r="G201" s="21" t="str">
        <x:v>2026-08-12T10:15:44.193</x:v>
      </x:c>
      <x:c r="H201" s="36" t="n">
        <x:v>1628.53</x:v>
      </x:c>
      <x:c r="I201" s="36" t="n">
        <x:f>H201/1000</x:f>
        <x:v>1.62853</x:v>
      </x:c>
      <x:c r="J201" s="21" t="str">
        <x:v>data2/qwen3_2.jsonl</x:v>
      </x:c>
      <x:c r="K201" s="21" t="n">
        <x:v>58</x:v>
      </x:c>
      <x:c r="L201" s="21" t="str">
        <x:v>processed精确文本</x:v>
      </x:c>
    </x:row>
    <x:row r="202">
      <x:c r="A202" s="38" t="n">
        <x:v>21</x:v>
      </x:c>
      <x:c r="B202" s="23" t="str">
        <x:v>帮我查一下 CBN-福州仓山-永南路与站后路交叉口C-HRHH-515 小区的方位角和机械下倾角。</x:v>
      </x:c>
      <x:c r="C202" s="23" t="str">
        <x:v>查询小区 CBN-福州仓山-永南路与站后路交叉口C-HRHH-515 的方位角和机械下倾角</x:v>
      </x:c>
      <x:c r="D202" s="23" t="str">
        <x:v>AICO总结</x:v>
      </x:c>
      <x:c r="E202" s="23" t="str">
        <x:v>无tool_calls</x:v>
      </x:c>
      <x:c r="F202" s="21" t="n">
        <x:v>1</x:v>
      </x:c>
      <x:c r="G202" s="21" t="str">
        <x:v>2026-08-12T10:15:46.094</x:v>
      </x:c>
      <x:c r="H202" s="36" t="n">
        <x:v>7272.938</x:v>
      </x:c>
      <x:c r="I202" s="36" t="n">
        <x:f>H202/1000</x:f>
        <x:v>7.272938</x:v>
      </x:c>
      <x:c r="J202" s="21" t="str">
        <x:v>data2/dsv4_2_aico.jsonl</x:v>
      </x:c>
      <x:c r="K202" s="21" t="n">
        <x:v>94</x:v>
      </x:c>
      <x:c r="L202" s="21" t="str">
        <x:v>original精确文本</x:v>
      </x:c>
    </x:row>
    <x:row r="203">
      <x:c r="A203" s="38" t="n">
        <x:v>21</x:v>
      </x:c>
      <x:c r="B203" s="23" t="str">
        <x:v>帮我查一下 CBN-福州仓山-永南路与站后路交叉口C-HRHH-515 小区的方位角和机械下倾角。</x:v>
      </x:c>
      <x:c r="C203" s="23" t="str">
        <x:v>查询小区 CBN-福州仓山-永南路与站后路交叉口C-HRHH-515 的方位角和机械下倾角</x:v>
      </x:c>
      <x:c r="D203" s="23" t="str">
        <x:v>问题推荐</x:v>
      </x:c>
      <x:c r="E203" s="23" t="str">
        <x:v>后续问题推荐</x:v>
      </x:c>
      <x:c r="F203" s="21" t="n">
        <x:v>1</x:v>
      </x:c>
      <x:c r="G203" s="21" t="str">
        <x:v>2026-08-12T10:15:53.650</x:v>
      </x:c>
      <x:c r="H203" s="36" t="n">
        <x:v>5149.51</x:v>
      </x:c>
      <x:c r="I203" s="36" t="n">
        <x:f>H203/1000</x:f>
        <x:v>5.14951</x:v>
      </x:c>
      <x:c r="J203" s="21" t="str">
        <x:v>data2/dsv4_2_recipe_ds.jsonl</x:v>
      </x:c>
      <x:c r="K203" s="21" t="n">
        <x:v>50</x:v>
      </x:c>
      <x:c r="L203" s="21" t="str">
        <x:v>original精确文本</x:v>
      </x:c>
    </x:row>
    <x:row r="204">
      <x:c r="A204" s="38" t="n">
        <x:v>22</x:v>
      </x:c>
      <x:c r="B204" s="23" t="str">
        <x:v>看一下深圳大梅沙D-HRH 站点下小区的经度和纬度。</x:v>
      </x:c>
      <x:c r="C204" s="23" t="str">
        <x:v>查询深圳大梅沙D-HRH站点下所有小区的经度和纬度工程参数</x:v>
      </x:c>
      <x:c r="D204" s="23" t="str">
        <x:v>AICO Tool Call - Skill</x:v>
      </x:c>
      <x:c r="E204" s="23" t="str">
        <x:v>Skill</x:v>
      </x:c>
      <x:c r="F204" s="21" t="n">
        <x:v>1</x:v>
      </x:c>
      <x:c r="G204" s="21" t="str">
        <x:v>2026-08-12T10:15:54.547</x:v>
      </x:c>
      <x:c r="H204" s="36" t="n">
        <x:v>5488.531</x:v>
      </x:c>
      <x:c r="I204" s="36" t="n">
        <x:f>H204/1000</x:f>
        <x:v>5.488531</x:v>
      </x:c>
      <x:c r="J204" s="21" t="str">
        <x:v>data2/dsv4_2_aico.jsonl</x:v>
      </x:c>
      <x:c r="K204" s="21" t="n">
        <x:v>95</x:v>
      </x:c>
      <x:c r="L204" s="21" t="str">
        <x:v>original精确文本</x:v>
      </x:c>
    </x:row>
    <x:row r="205">
      <x:c r="A205" s="38" t="n">
        <x:v>22</x:v>
      </x:c>
      <x:c r="B205" s="23" t="str">
        <x:v>看一下深圳大梅沙D-HRH 站点下小区的经度和纬度。</x:v>
      </x:c>
      <x:c r="C205" s="23" t="str">
        <x:v>查询深圳大梅沙D-HRH站点下所有小区的经度和纬度工程参数</x:v>
      </x:c>
      <x:c r="D205" s="23" t="str">
        <x:v>AICO Tool Call - Workflow</x:v>
      </x:c>
      <x:c r="E205" s="23" t="str">
        <x:v>Workflow</x:v>
      </x:c>
      <x:c r="F205" s="21" t="n">
        <x:v>1</x:v>
      </x:c>
      <x:c r="G205" s="21" t="str">
        <x:v>2026-08-12T10:16:00.186</x:v>
      </x:c>
      <x:c r="H205" s="36" t="n">
        <x:v>5208.171</x:v>
      </x:c>
      <x:c r="I205" s="36" t="n">
        <x:f>H205/1000</x:f>
        <x:v>5.208171</x:v>
      </x:c>
      <x:c r="J205" s="21" t="str">
        <x:v>data2/dsv4_2_aico.jsonl</x:v>
      </x:c>
      <x:c r="K205" s="21" t="n">
        <x:v>96</x:v>
      </x:c>
      <x:c r="L205" s="21" t="str">
        <x:v>original精确文本</x:v>
      </x:c>
    </x:row>
    <x:row r="206">
      <x:c r="A206" s="38" t="n">
        <x:v>22</x:v>
      </x:c>
      <x:c r="B206" s="23" t="str">
        <x:v>看一下深圳大梅沙D-HRH 站点下小区的经度和纬度。</x:v>
      </x:c>
      <x:c r="C206" s="23" t="str">
        <x:v>查询深圳大梅沙D-HRH站点下所有小区的经度和纬度工程参数</x:v>
      </x:c>
      <x:c r="D206" s="23" t="str">
        <x:v>Recipe - DeepSeek</x:v>
      </x:c>
      <x:c r="E206" s="23" t="str">
        <x:v>DeepSeek recipe调用</x:v>
      </x:c>
      <x:c r="F206" s="21" t="n">
        <x:v>1</x:v>
      </x:c>
      <x:c r="G206" s="21" t="str">
        <x:v>2026-08-12T10:16:06.800</x:v>
      </x:c>
      <x:c r="H206" s="36" t="n">
        <x:v>3000.595</x:v>
      </x:c>
      <x:c r="I206" s="36" t="n">
        <x:f>H206/1000</x:f>
        <x:v>3.0005949999999997</x:v>
      </x:c>
      <x:c r="J206" s="21" t="str">
        <x:v>data2/dsv4_2_recipe_ds.jsonl</x:v>
      </x:c>
      <x:c r="K206" s="21" t="n">
        <x:v>51</x:v>
      </x:c>
      <x:c r="L206" s="21" t="str">
        <x:v>processed精确文本</x:v>
      </x:c>
    </x:row>
    <x:row r="207">
      <x:c r="A207" s="38" t="n">
        <x:v>22</x:v>
      </x:c>
      <x:c r="B207" s="23" t="str">
        <x:v>看一下深圳大梅沙D-HRH 站点下小区的经度和纬度。</x:v>
      </x:c>
      <x:c r="C207" s="23" t="str">
        <x:v>查询深圳大梅沙D-HRH站点下所有小区的经度和纬度工程参数</x:v>
      </x:c>
      <x:c r="D207" s="23" t="str">
        <x:v>Recipe - Qwen执行</x:v>
      </x:c>
      <x:c r="E207" s="23" t="str">
        <x:v>同一问题第1次Qwen调用</x:v>
      </x:c>
      <x:c r="F207" s="21" t="n">
        <x:v>1</x:v>
      </x:c>
      <x:c r="G207" s="21" t="str">
        <x:v>2026-08-12T10:16:10.131</x:v>
      </x:c>
      <x:c r="H207" s="36" t="n">
        <x:v>1174.095</x:v>
      </x:c>
      <x:c r="I207" s="36" t="n">
        <x:f>H207/1000</x:f>
        <x:v>1.174095</x:v>
      </x:c>
      <x:c r="J207" s="21" t="str">
        <x:v>data2/qwen3_2.jsonl</x:v>
      </x:c>
      <x:c r="K207" s="21" t="n">
        <x:v>59</x:v>
      </x:c>
      <x:c r="L207" s="21" t="str">
        <x:v>processed精确文本</x:v>
      </x:c>
    </x:row>
    <x:row r="208">
      <x:c r="A208" s="38" t="n">
        <x:v>22</x:v>
      </x:c>
      <x:c r="B208" s="23" t="str">
        <x:v>看一下深圳大梅沙D-HRH 站点下小区的经度和纬度。</x:v>
      </x:c>
      <x:c r="C208" s="23" t="str">
        <x:v>查询深圳大梅沙D-HRH站点下所有小区的经度和纬度工程参数</x:v>
      </x:c>
      <x:c r="D208" s="23" t="str">
        <x:v>Recipe - Qwen总结</x:v>
      </x:c>
      <x:c r="E208" s="23" t="str">
        <x:v>同一问题最后一次Qwen调用</x:v>
      </x:c>
      <x:c r="F208" s="21" t="n">
        <x:v>1</x:v>
      </x:c>
      <x:c r="G208" s="21" t="str">
        <x:v>2026-08-12T10:16:11.813</x:v>
      </x:c>
      <x:c r="H208" s="36" t="n">
        <x:v>1437.259</x:v>
      </x:c>
      <x:c r="I208" s="36" t="n">
        <x:f>H208/1000</x:f>
        <x:v>1.437259</x:v>
      </x:c>
      <x:c r="J208" s="21" t="str">
        <x:v>data2/qwen3_2.jsonl</x:v>
      </x:c>
      <x:c r="K208" s="21" t="n">
        <x:v>60</x:v>
      </x:c>
      <x:c r="L208" s="21" t="str">
        <x:v>processed精确文本</x:v>
      </x:c>
    </x:row>
    <x:row r="209">
      <x:c r="A209" s="38" t="n">
        <x:v>22</x:v>
      </x:c>
      <x:c r="B209" s="23" t="str">
        <x:v>看一下深圳大梅沙D-HRH 站点下小区的经度和纬度。</x:v>
      </x:c>
      <x:c r="C209" s="23" t="str">
        <x:v>查询深圳大梅沙D-HRH站点下所有小区的经度和纬度工程参数</x:v>
      </x:c>
      <x:c r="D209" s="23" t="str">
        <x:v>AICO总结</x:v>
      </x:c>
      <x:c r="E209" s="23" t="str">
        <x:v>无tool_calls</x:v>
      </x:c>
      <x:c r="F209" s="21" t="n">
        <x:v>1</x:v>
      </x:c>
      <x:c r="G209" s="21" t="str">
        <x:v>2026-08-12T10:16:13.550</x:v>
      </x:c>
      <x:c r="H209" s="36" t="n">
        <x:v>7414.419</x:v>
      </x:c>
      <x:c r="I209" s="36" t="n">
        <x:f>H209/1000</x:f>
        <x:v>7.414419</x:v>
      </x:c>
      <x:c r="J209" s="21" t="str">
        <x:v>data2/dsv4_2_aico.jsonl</x:v>
      </x:c>
      <x:c r="K209" s="21" t="n">
        <x:v>97</x:v>
      </x:c>
      <x:c r="L209" s="21" t="str">
        <x:v>original精确文本</x:v>
      </x:c>
    </x:row>
    <x:row r="210">
      <x:c r="A210" s="38" t="n">
        <x:v>22</x:v>
      </x:c>
      <x:c r="B210" s="23" t="str">
        <x:v>看一下深圳大梅沙D-HRH 站点下小区的经度和纬度。</x:v>
      </x:c>
      <x:c r="C210" s="23" t="str">
        <x:v>查询深圳大梅沙D-HRH站点下所有小区的经度和纬度工程参数</x:v>
      </x:c>
      <x:c r="D210" s="23" t="str">
        <x:v>问题推荐</x:v>
      </x:c>
      <x:c r="E210" s="23" t="str">
        <x:v>后续问题推荐</x:v>
      </x:c>
      <x:c r="F210" s="21" t="n">
        <x:v>1</x:v>
      </x:c>
      <x:c r="G210" s="21" t="str">
        <x:v>2026-08-12T10:16:21.357</x:v>
      </x:c>
      <x:c r="H210" s="36" t="n">
        <x:v>7677.502</x:v>
      </x:c>
      <x:c r="I210" s="36" t="n">
        <x:f>H210/1000</x:f>
        <x:v>7.6775020000000005</x:v>
      </x:c>
      <x:c r="J210" s="21" t="str">
        <x:v>data2/dsv4_2_recipe_ds.jsonl</x:v>
      </x:c>
      <x:c r="K210" s="21" t="n">
        <x:v>52</x:v>
      </x:c>
      <x:c r="L210" s="21" t="str">
        <x:v>original精确文本</x:v>
      </x:c>
    </x:row>
    <x:row r="211">
      <x:c r="A211" s="38" t="n">
        <x:v>23</x:v>
      </x:c>
      <x:c r="B211" s="23" t="str">
        <x:v>确认一下 CBN-深圳东华风车U-H5H-0711 小区的基站标识和小区名称。</x:v>
      </x:c>
      <x:c r="C211" s="23" t="str">
        <x:v>查询小区 CBN-深圳东华风车U-H5H-0711 的基站标识和小区名称</x:v>
      </x:c>
      <x:c r="D211" s="23" t="str">
        <x:v>AICO Tool Call - Skill</x:v>
      </x:c>
      <x:c r="E211" s="23" t="str">
        <x:v>Skill</x:v>
      </x:c>
      <x:c r="F211" s="21" t="n">
        <x:v>1</x:v>
      </x:c>
      <x:c r="G211" s="21" t="str">
        <x:v>2026-08-12T10:16:22.258</x:v>
      </x:c>
      <x:c r="H211" s="36" t="n">
        <x:v>7969.063</x:v>
      </x:c>
      <x:c r="I211" s="36" t="n">
        <x:f>H211/1000</x:f>
        <x:v>7.969063</x:v>
      </x:c>
      <x:c r="J211" s="21" t="str">
        <x:v>data2/dsv4_2_aico.jsonl</x:v>
      </x:c>
      <x:c r="K211" s="21" t="n">
        <x:v>98</x:v>
      </x:c>
      <x:c r="L211" s="21" t="str">
        <x:v>original精确文本</x:v>
      </x:c>
    </x:row>
    <x:row r="212">
      <x:c r="A212" s="38" t="n">
        <x:v>23</x:v>
      </x:c>
      <x:c r="B212" s="23" t="str">
        <x:v>确认一下 CBN-深圳东华风车U-H5H-0711 小区的基站标识和小区名称。</x:v>
      </x:c>
      <x:c r="C212" s="23" t="str">
        <x:v>查询小区 CBN-深圳东华风车U-H5H-0711 的基站标识和小区名称</x:v>
      </x:c>
      <x:c r="D212" s="23" t="str">
        <x:v>AICO Tool Call - Workflow</x:v>
      </x:c>
      <x:c r="E212" s="23" t="str">
        <x:v>Workflow</x:v>
      </x:c>
      <x:c r="F212" s="21" t="n">
        <x:v>1</x:v>
      </x:c>
      <x:c r="G212" s="21" t="str">
        <x:v>2026-08-12T10:16:30.386</x:v>
      </x:c>
      <x:c r="H212" s="36" t="n">
        <x:v>5189.644</x:v>
      </x:c>
      <x:c r="I212" s="36" t="n">
        <x:f>H212/1000</x:f>
        <x:v>5.189644</x:v>
      </x:c>
      <x:c r="J212" s="21" t="str">
        <x:v>data2/dsv4_2_aico.jsonl</x:v>
      </x:c>
      <x:c r="K212" s="21" t="n">
        <x:v>99</x:v>
      </x:c>
      <x:c r="L212" s="21" t="str">
        <x:v>original精确文本</x:v>
      </x:c>
    </x:row>
    <x:row r="213">
      <x:c r="A213" s="38" t="n">
        <x:v>23</x:v>
      </x:c>
      <x:c r="B213" s="23" t="str">
        <x:v>确认一下 CBN-深圳东华风车U-H5H-0711 小区的基站标识和小区名称。</x:v>
      </x:c>
      <x:c r="C213" s="23" t="str">
        <x:v>查询小区 CBN-深圳东华风车U-H5H-0711 的基站标识和小区名称</x:v>
      </x:c>
      <x:c r="D213" s="23" t="str">
        <x:v>Recipe - DeepSeek</x:v>
      </x:c>
      <x:c r="E213" s="23" t="str">
        <x:v>DeepSeek recipe调用</x:v>
      </x:c>
      <x:c r="F213" s="21" t="n">
        <x:v>1</x:v>
      </x:c>
      <x:c r="G213" s="21" t="str">
        <x:v>2026-08-12T10:16:36.980</x:v>
      </x:c>
      <x:c r="H213" s="36" t="n">
        <x:v>3268.415</x:v>
      </x:c>
      <x:c r="I213" s="36" t="n">
        <x:f>H213/1000</x:f>
        <x:v>3.268415</x:v>
      </x:c>
      <x:c r="J213" s="21" t="str">
        <x:v>data2/dsv4_2_recipe_ds.jsonl</x:v>
      </x:c>
      <x:c r="K213" s="21" t="n">
        <x:v>53</x:v>
      </x:c>
      <x:c r="L213" s="21" t="str">
        <x:v>processed精确文本</x:v>
      </x:c>
    </x:row>
    <x:row r="214">
      <x:c r="A214" s="38" t="n">
        <x:v>23</x:v>
      </x:c>
      <x:c r="B214" s="23" t="str">
        <x:v>确认一下 CBN-深圳东华风车U-H5H-0711 小区的基站标识和小区名称。</x:v>
      </x:c>
      <x:c r="C214" s="23" t="str">
        <x:v>查询小区 CBN-深圳东华风车U-H5H-0711 的基站标识和小区名称</x:v>
      </x:c>
      <x:c r="D214" s="23" t="str">
        <x:v>Recipe - Qwen执行</x:v>
      </x:c>
      <x:c r="E214" s="23" t="str">
        <x:v>同一问题第1次Qwen调用</x:v>
      </x:c>
      <x:c r="F214" s="21" t="n">
        <x:v>1</x:v>
      </x:c>
      <x:c r="G214" s="21" t="str">
        <x:v>2026-08-12T10:16:40.573</x:v>
      </x:c>
      <x:c r="H214" s="36" t="n">
        <x:v>1250.621</x:v>
      </x:c>
      <x:c r="I214" s="36" t="n">
        <x:f>H214/1000</x:f>
        <x:v>1.2506210000000002</x:v>
      </x:c>
      <x:c r="J214" s="21" t="str">
        <x:v>data2/qwen3_2.jsonl</x:v>
      </x:c>
      <x:c r="K214" s="21" t="n">
        <x:v>61</x:v>
      </x:c>
      <x:c r="L214" s="21" t="str">
        <x:v>processed精确文本</x:v>
      </x:c>
    </x:row>
    <x:row r="215">
      <x:c r="A215" s="38" t="n">
        <x:v>23</x:v>
      </x:c>
      <x:c r="B215" s="23" t="str">
        <x:v>确认一下 CBN-深圳东华风车U-H5H-0711 小区的基站标识和小区名称。</x:v>
      </x:c>
      <x:c r="C215" s="23" t="str">
        <x:v>查询小区 CBN-深圳东华风车U-H5H-0711 的基站标识和小区名称</x:v>
      </x:c>
      <x:c r="D215" s="23" t="str">
        <x:v>Recipe - Qwen总结</x:v>
      </x:c>
      <x:c r="E215" s="23" t="str">
        <x:v>同一问题最后一次Qwen调用</x:v>
      </x:c>
      <x:c r="F215" s="21" t="n">
        <x:v>1</x:v>
      </x:c>
      <x:c r="G215" s="21" t="str">
        <x:v>2026-08-12T10:16:42.322</x:v>
      </x:c>
      <x:c r="H215" s="36" t="n">
        <x:v>1597.695</x:v>
      </x:c>
      <x:c r="I215" s="36" t="n">
        <x:f>H215/1000</x:f>
        <x:v>1.5976949999999999</x:v>
      </x:c>
      <x:c r="J215" s="21" t="str">
        <x:v>data2/qwen3_2.jsonl</x:v>
      </x:c>
      <x:c r="K215" s="21" t="n">
        <x:v>62</x:v>
      </x:c>
      <x:c r="L215" s="21" t="str">
        <x:v>processed精确文本</x:v>
      </x:c>
    </x:row>
    <x:row r="216">
      <x:c r="A216" s="38" t="n">
        <x:v>23</x:v>
      </x:c>
      <x:c r="B216" s="23" t="str">
        <x:v>确认一下 CBN-深圳东华风车U-H5H-0711 小区的基站标识和小区名称。</x:v>
      </x:c>
      <x:c r="C216" s="23" t="str">
        <x:v>查询小区 CBN-深圳东华风车U-H5H-0711 的基站标识和小区名称</x:v>
      </x:c>
      <x:c r="D216" s="23" t="str">
        <x:v>AICO总结</x:v>
      </x:c>
      <x:c r="E216" s="23" t="str">
        <x:v>无tool_calls</x:v>
      </x:c>
      <x:c r="F216" s="21" t="n">
        <x:v>1</x:v>
      </x:c>
      <x:c r="G216" s="21" t="str">
        <x:v>2026-08-12T10:16:44.182</x:v>
      </x:c>
      <x:c r="H216" s="36" t="n">
        <x:v>7457.984</x:v>
      </x:c>
      <x:c r="I216" s="36" t="n">
        <x:f>H216/1000</x:f>
        <x:v>7.457984000000001</x:v>
      </x:c>
      <x:c r="J216" s="21" t="str">
        <x:v>data2/dsv4_2_aico.jsonl</x:v>
      </x:c>
      <x:c r="K216" s="21" t="n">
        <x:v>100</x:v>
      </x:c>
      <x:c r="L216" s="21" t="str">
        <x:v>original精确文本</x:v>
      </x:c>
    </x:row>
    <x:row r="217">
      <x:c r="A217" s="38" t="n">
        <x:v>23</x:v>
      </x:c>
      <x:c r="B217" s="23" t="str">
        <x:v>确认一下 CBN-深圳东华风车U-H5H-0711 小区的基站标识和小区名称。</x:v>
      </x:c>
      <x:c r="C217" s="23" t="str">
        <x:v>查询小区 CBN-深圳东华风车U-H5H-0711 的基站标识和小区名称</x:v>
      </x:c>
      <x:c r="D217" s="23" t="str">
        <x:v>问题推荐</x:v>
      </x:c>
      <x:c r="E217" s="23" t="str">
        <x:v>后续问题推荐</x:v>
      </x:c>
      <x:c r="F217" s="21" t="n">
        <x:v>1</x:v>
      </x:c>
      <x:c r="G217" s="21" t="str">
        <x:v>2026-08-12T10:16:51.906</x:v>
      </x:c>
      <x:c r="H217" s="36" t="n">
        <x:v>7543.397</x:v>
      </x:c>
      <x:c r="I217" s="36" t="n">
        <x:f>H217/1000</x:f>
        <x:v>7.543397</x:v>
      </x:c>
      <x:c r="J217" s="21" t="str">
        <x:v>data2/dsv4_2_recipe_ds.jsonl</x:v>
      </x:c>
      <x:c r="K217" s="21" t="n">
        <x:v>54</x:v>
      </x:c>
      <x:c r="L217" s="21" t="str">
        <x:v>original精确文本</x:v>
      </x:c>
    </x:row>
    <x:row r="218">
      <x:c r="A218" s="38" t="n">
        <x:v>24</x:v>
      </x:c>
      <x:c r="B218" s="23" t="str">
        <x:v>找出 CBN-福州晋安-福厦高铁鼓山鼓一隧道C-HRRH-513 小区的方向角。</x:v>
      </x:c>
      <x:c r="C218" s="23" t="str">
        <x:v>查询小区 CBN-福州晋安-福厦高铁鼓山鼓一隧道C-HRRH-513 的方向角</x:v>
      </x:c>
      <x:c r="D218" s="23" t="str">
        <x:v>AICO Tool Call - Skill</x:v>
      </x:c>
      <x:c r="E218" s="23" t="str">
        <x:v>Skill</x:v>
      </x:c>
      <x:c r="F218" s="21" t="n">
        <x:v>1</x:v>
      </x:c>
      <x:c r="G218" s="21" t="str">
        <x:v>2026-08-12T10:16:52.855</x:v>
      </x:c>
      <x:c r="H218" s="36" t="n">
        <x:v>8108.114</x:v>
      </x:c>
      <x:c r="I218" s="36" t="n">
        <x:f>H218/1000</x:f>
        <x:v>8.108113999999999</x:v>
      </x:c>
      <x:c r="J218" s="21" t="str">
        <x:v>data2/dsv4_2_aico.jsonl</x:v>
      </x:c>
      <x:c r="K218" s="21" t="n">
        <x:v>101</x:v>
      </x:c>
      <x:c r="L218" s="21" t="str">
        <x:v>original精确文本</x:v>
      </x:c>
    </x:row>
    <x:row r="219">
      <x:c r="A219" s="38" t="n">
        <x:v>24</x:v>
      </x:c>
      <x:c r="B219" s="23" t="str">
        <x:v>找出 CBN-福州晋安-福厦高铁鼓山鼓一隧道C-HRRH-513 小区的方向角。</x:v>
      </x:c>
      <x:c r="C219" s="23" t="str">
        <x:v>查询小区 CBN-福州晋安-福厦高铁鼓山鼓一隧道C-HRRH-513 的方向角</x:v>
      </x:c>
      <x:c r="D219" s="23" t="str">
        <x:v>AICO Tool Call - Workflow</x:v>
      </x:c>
      <x:c r="E219" s="23" t="str">
        <x:v>Workflow</x:v>
      </x:c>
      <x:c r="F219" s="21" t="n">
        <x:v>1</x:v>
      </x:c>
      <x:c r="G219" s="21" t="str">
        <x:v>2026-08-12T10:17:01.121</x:v>
      </x:c>
      <x:c r="H219" s="36" t="n">
        <x:v>7746.849</x:v>
      </x:c>
      <x:c r="I219" s="36" t="n">
        <x:f>H219/1000</x:f>
        <x:v>7.746849</x:v>
      </x:c>
      <x:c r="J219" s="21" t="str">
        <x:v>data2/dsv4_2_aico.jsonl</x:v>
      </x:c>
      <x:c r="K219" s="21" t="n">
        <x:v>102</x:v>
      </x:c>
      <x:c r="L219" s="21" t="str">
        <x:v>original精确文本</x:v>
      </x:c>
    </x:row>
    <x:row r="220">
      <x:c r="A220" s="38" t="n">
        <x:v>24</x:v>
      </x:c>
      <x:c r="B220" s="23" t="str">
        <x:v>找出 CBN-福州晋安-福厦高铁鼓山鼓一隧道C-HRRH-513 小区的方向角。</x:v>
      </x:c>
      <x:c r="C220" s="23" t="str">
        <x:v>查询小区 CBN-福州晋安-福厦高铁鼓山鼓一隧道C-HRRH-513 的方向角</x:v>
      </x:c>
      <x:c r="D220" s="23" t="str">
        <x:v>Recipe - DeepSeek</x:v>
      </x:c>
      <x:c r="E220" s="23" t="str">
        <x:v>DeepSeek recipe调用</x:v>
      </x:c>
      <x:c r="F220" s="21" t="n">
        <x:v>1</x:v>
      </x:c>
      <x:c r="G220" s="21" t="str">
        <x:v>2026-08-12T10:17:10.360</x:v>
      </x:c>
      <x:c r="H220" s="36" t="n">
        <x:v>3323.722</x:v>
      </x:c>
      <x:c r="I220" s="36" t="n">
        <x:f>H220/1000</x:f>
        <x:v>3.323722</x:v>
      </x:c>
      <x:c r="J220" s="21" t="str">
        <x:v>data2/dsv4_2_recipe_ds.jsonl</x:v>
      </x:c>
      <x:c r="K220" s="21" t="n">
        <x:v>55</x:v>
      </x:c>
      <x:c r="L220" s="21" t="str">
        <x:v>processed精确文本</x:v>
      </x:c>
    </x:row>
    <x:row r="221">
      <x:c r="A221" s="38" t="n">
        <x:v>24</x:v>
      </x:c>
      <x:c r="B221" s="23" t="str">
        <x:v>找出 CBN-福州晋安-福厦高铁鼓山鼓一隧道C-HRRH-513 小区的方向角。</x:v>
      </x:c>
      <x:c r="C221" s="23" t="str">
        <x:v>查询小区 CBN-福州晋安-福厦高铁鼓山鼓一隧道C-HRRH-513 的方向角</x:v>
      </x:c>
      <x:c r="D221" s="23" t="str">
        <x:v>Recipe - Qwen执行</x:v>
      </x:c>
      <x:c r="E221" s="23" t="str">
        <x:v>同一问题第1次Qwen调用</x:v>
      </x:c>
      <x:c r="F221" s="21" t="n">
        <x:v>1</x:v>
      </x:c>
      <x:c r="G221" s="21" t="str">
        <x:v>2026-08-12T10:17:14.038</x:v>
      </x:c>
      <x:c r="H221" s="36" t="n">
        <x:v>1350.979</x:v>
      </x:c>
      <x:c r="I221" s="36" t="n">
        <x:f>H221/1000</x:f>
        <x:v>1.3509790000000002</x:v>
      </x:c>
      <x:c r="J221" s="21" t="str">
        <x:v>data2/qwen3_2.jsonl</x:v>
      </x:c>
      <x:c r="K221" s="21" t="n">
        <x:v>63</x:v>
      </x:c>
      <x:c r="L221" s="21" t="str">
        <x:v>processed精确文本</x:v>
      </x:c>
    </x:row>
    <x:row r="222">
      <x:c r="A222" s="38" t="n">
        <x:v>24</x:v>
      </x:c>
      <x:c r="B222" s="23" t="str">
        <x:v>找出 CBN-福州晋安-福厦高铁鼓山鼓一隧道C-HRRH-513 小区的方向角。</x:v>
      </x:c>
      <x:c r="C222" s="23" t="str">
        <x:v>查询小区 CBN-福州晋安-福厦高铁鼓山鼓一隧道C-HRRH-513 的方向角</x:v>
      </x:c>
      <x:c r="D222" s="23" t="str">
        <x:v>Recipe - Qwen总结</x:v>
      </x:c>
      <x:c r="E222" s="23" t="str">
        <x:v>同一问题最后一次Qwen调用</x:v>
      </x:c>
      <x:c r="F222" s="21" t="n">
        <x:v>1</x:v>
      </x:c>
      <x:c r="G222" s="21" t="str">
        <x:v>2026-08-12T10:17:15.901</x:v>
      </x:c>
      <x:c r="H222" s="36" t="n">
        <x:v>1492.787</x:v>
      </x:c>
      <x:c r="I222" s="36" t="n">
        <x:f>H222/1000</x:f>
        <x:v>1.492787</x:v>
      </x:c>
      <x:c r="J222" s="21" t="str">
        <x:v>data2/qwen3_2.jsonl</x:v>
      </x:c>
      <x:c r="K222" s="21" t="n">
        <x:v>64</x:v>
      </x:c>
      <x:c r="L222" s="21" t="str">
        <x:v>processed精确文本</x:v>
      </x:c>
    </x:row>
    <x:row r="223">
      <x:c r="A223" s="38" t="n">
        <x:v>24</x:v>
      </x:c>
      <x:c r="B223" s="23" t="str">
        <x:v>找出 CBN-福州晋安-福厦高铁鼓山鼓一隧道C-HRRH-513 小区的方向角。</x:v>
      </x:c>
      <x:c r="C223" s="23" t="str">
        <x:v>查询小区 CBN-福州晋安-福厦高铁鼓山鼓一隧道C-HRRH-513 的方向角</x:v>
      </x:c>
      <x:c r="D223" s="23" t="str">
        <x:v>AICO总结</x:v>
      </x:c>
      <x:c r="E223" s="23" t="str">
        <x:v>无tool_calls</x:v>
      </x:c>
      <x:c r="F223" s="21" t="n">
        <x:v>1</x:v>
      </x:c>
      <x:c r="G223" s="21" t="str">
        <x:v>2026-08-12T10:17:17.641</x:v>
      </x:c>
      <x:c r="H223" s="36" t="n">
        <x:v>6639.807</x:v>
      </x:c>
      <x:c r="I223" s="36" t="n">
        <x:f>H223/1000</x:f>
        <x:v>6.639806999999999</x:v>
      </x:c>
      <x:c r="J223" s="21" t="str">
        <x:v>data2/dsv4_2_aico.jsonl</x:v>
      </x:c>
      <x:c r="K223" s="21" t="n">
        <x:v>103</x:v>
      </x:c>
      <x:c r="L223" s="21" t="str">
        <x:v>original精确文本</x:v>
      </x:c>
    </x:row>
    <x:row r="224">
      <x:c r="A224" s="38" t="n">
        <x:v>24</x:v>
      </x:c>
      <x:c r="B224" s="23" t="str">
        <x:v>找出 CBN-福州晋安-福厦高铁鼓山鼓一隧道C-HRRH-513 小区的方向角。</x:v>
      </x:c>
      <x:c r="C224" s="23" t="str">
        <x:v>查询小区 CBN-福州晋安-福厦高铁鼓山鼓一隧道C-HRRH-513 的方向角</x:v>
      </x:c>
      <x:c r="D224" s="23" t="str">
        <x:v>问题推荐</x:v>
      </x:c>
      <x:c r="E224" s="23" t="str">
        <x:v>后续问题推荐</x:v>
      </x:c>
      <x:c r="F224" s="21" t="n">
        <x:v>1</x:v>
      </x:c>
      <x:c r="G224" s="21" t="str">
        <x:v>2026-08-12T10:17:24.561</x:v>
      </x:c>
      <x:c r="H224" s="36" t="n">
        <x:v>5442.82</x:v>
      </x:c>
      <x:c r="I224" s="36" t="n">
        <x:f>H224/1000</x:f>
        <x:v>5.442819999999999</x:v>
      </x:c>
      <x:c r="J224" s="21" t="str">
        <x:v>data2/dsv4_2_recipe_ds.jsonl</x:v>
      </x:c>
      <x:c r="K224" s="21" t="n">
        <x:v>56</x:v>
      </x:c>
      <x:c r="L224" s="21" t="str">
        <x:v>original精确文本</x:v>
      </x:c>
    </x:row>
    <x:row r="225">
      <x:c r="A225" s="38" t="n">
        <x:v>25</x:v>
      </x:c>
      <x:c r="B225" s="23" t="str">
        <x:v>帮我查 CBN-深圳梅沙湾U-H5H 站点下小区的站点名称、方位角和机械下倾角。</x:v>
      </x:c>
      <x:c r="C225" s="23" t="str">
        <x:v>查询站点 CBN-深圳梅沙湾U-H5H 下所有小区的站点名称、方位角和机械下倾角</x:v>
      </x:c>
      <x:c r="D225" s="23" t="str">
        <x:v>AICO Tool Call - Skill</x:v>
      </x:c>
      <x:c r="E225" s="23" t="str">
        <x:v>Skill</x:v>
      </x:c>
      <x:c r="F225" s="21" t="n">
        <x:v>1</x:v>
      </x:c>
      <x:c r="G225" s="21" t="str">
        <x:v>2026-08-12T10:17:25.445</x:v>
      </x:c>
      <x:c r="H225" s="36" t="n">
        <x:v>5662.356</x:v>
      </x:c>
      <x:c r="I225" s="36" t="n">
        <x:f>H225/1000</x:f>
        <x:v>5.662356</x:v>
      </x:c>
      <x:c r="J225" s="21" t="str">
        <x:v>data2/dsv4_2_aico.jsonl</x:v>
      </x:c>
      <x:c r="K225" s="21" t="n">
        <x:v>104</x:v>
      </x:c>
      <x:c r="L225" s="21" t="str">
        <x:v>original精确文本</x:v>
      </x:c>
    </x:row>
    <x:row r="226">
      <x:c r="A226" s="38" t="n">
        <x:v>25</x:v>
      </x:c>
      <x:c r="B226" s="23" t="str">
        <x:v>帮我查 CBN-深圳梅沙湾U-H5H 站点下小区的站点名称、方位角和机械下倾角。</x:v>
      </x:c>
      <x:c r="C226" s="23" t="str">
        <x:v>查询站点 CBN-深圳梅沙湾U-H5H 下所有小区的站点名称、方位角和机械下倾角</x:v>
      </x:c>
      <x:c r="D226" s="23" t="str">
        <x:v>AICO Tool Call - Workflow</x:v>
      </x:c>
      <x:c r="E226" s="23" t="str">
        <x:v>Workflow</x:v>
      </x:c>
      <x:c r="F226" s="21" t="n">
        <x:v>1</x:v>
      </x:c>
      <x:c r="G226" s="21" t="str">
        <x:v>2026-08-12T10:17:31.262</x:v>
      </x:c>
      <x:c r="H226" s="36" t="n">
        <x:v>5330.904</x:v>
      </x:c>
      <x:c r="I226" s="36" t="n">
        <x:f>H226/1000</x:f>
        <x:v>5.330904</x:v>
      </x:c>
      <x:c r="J226" s="21" t="str">
        <x:v>data2/dsv4_2_aico.jsonl</x:v>
      </x:c>
      <x:c r="K226" s="21" t="n">
        <x:v>105</x:v>
      </x:c>
      <x:c r="L226" s="21" t="str">
        <x:v>original精确文本</x:v>
      </x:c>
    </x:row>
    <x:row r="227">
      <x:c r="A227" s="38" t="n">
        <x:v>25</x:v>
      </x:c>
      <x:c r="B227" s="23" t="str">
        <x:v>帮我查 CBN-深圳梅沙湾U-H5H 站点下小区的站点名称、方位角和机械下倾角。</x:v>
      </x:c>
      <x:c r="C227" s="23" t="str">
        <x:v>查询站点 CBN-深圳梅沙湾U-H5H 下所有小区的站点名称、方位角和机械下倾角</x:v>
      </x:c>
      <x:c r="D227" s="23" t="str">
        <x:v>Recipe - DeepSeek</x:v>
      </x:c>
      <x:c r="E227" s="23" t="str">
        <x:v>DeepSeek recipe调用</x:v>
      </x:c>
      <x:c r="F227" s="21" t="n">
        <x:v>1</x:v>
      </x:c>
      <x:c r="G227" s="21" t="str">
        <x:v>2026-08-12T10:17:38.010</x:v>
      </x:c>
      <x:c r="H227" s="36" t="n">
        <x:v>3405.7</x:v>
      </x:c>
      <x:c r="I227" s="36" t="n">
        <x:f>H227/1000</x:f>
        <x:v>3.4057</x:v>
      </x:c>
      <x:c r="J227" s="21" t="str">
        <x:v>data2/dsv4_2_recipe_ds.jsonl</x:v>
      </x:c>
      <x:c r="K227" s="21" t="n">
        <x:v>57</x:v>
      </x:c>
      <x:c r="L227" s="21" t="str">
        <x:v>processed精确文本</x:v>
      </x:c>
    </x:row>
    <x:row r="228">
      <x:c r="A228" s="38" t="n">
        <x:v>25</x:v>
      </x:c>
      <x:c r="B228" s="23" t="str">
        <x:v>帮我查 CBN-深圳梅沙湾U-H5H 站点下小区的站点名称、方位角和机械下倾角。</x:v>
      </x:c>
      <x:c r="C228" s="23" t="str">
        <x:v>查询站点 CBN-深圳梅沙湾U-H5H 下所有小区的站点名称、方位角和机械下倾角</x:v>
      </x:c>
      <x:c r="D228" s="23" t="str">
        <x:v>Recipe - Qwen执行</x:v>
      </x:c>
      <x:c r="E228" s="23" t="str">
        <x:v>同一问题第1次Qwen调用</x:v>
      </x:c>
      <x:c r="F228" s="21" t="n">
        <x:v>1</x:v>
      </x:c>
      <x:c r="G228" s="21" t="str">
        <x:v>2026-08-12T10:17:41.753</x:v>
      </x:c>
      <x:c r="H228" s="36" t="n">
        <x:v>1303.356</x:v>
      </x:c>
      <x:c r="I228" s="36" t="n">
        <x:f>H228/1000</x:f>
        <x:v>1.303356</x:v>
      </x:c>
      <x:c r="J228" s="21" t="str">
        <x:v>data2/qwen3_2.jsonl</x:v>
      </x:c>
      <x:c r="K228" s="21" t="n">
        <x:v>65</x:v>
      </x:c>
      <x:c r="L228" s="21" t="str">
        <x:v>processed精确文本</x:v>
      </x:c>
    </x:row>
    <x:row r="229">
      <x:c r="A229" s="38" t="n">
        <x:v>25</x:v>
      </x:c>
      <x:c r="B229" s="23" t="str">
        <x:v>帮我查 CBN-深圳梅沙湾U-H5H 站点下小区的站点名称、方位角和机械下倾角。</x:v>
      </x:c>
      <x:c r="C229" s="23" t="str">
        <x:v>查询站点 CBN-深圳梅沙湾U-H5H 下所有小区的站点名称、方位角和机械下倾角</x:v>
      </x:c>
      <x:c r="D229" s="23" t="str">
        <x:v>Recipe - Qwen总结</x:v>
      </x:c>
      <x:c r="E229" s="23" t="str">
        <x:v>同一问题最后一次Qwen调用</x:v>
      </x:c>
      <x:c r="F229" s="21" t="n">
        <x:v>1</x:v>
      </x:c>
      <x:c r="G229" s="21" t="str">
        <x:v>2026-08-12T10:17:43.556</x:v>
      </x:c>
      <x:c r="H229" s="36" t="n">
        <x:v>2591.585</x:v>
      </x:c>
      <x:c r="I229" s="36" t="n">
        <x:f>H229/1000</x:f>
        <x:v>2.5915850000000002</x:v>
      </x:c>
      <x:c r="J229" s="21" t="str">
        <x:v>data2/qwen3_2.jsonl</x:v>
      </x:c>
      <x:c r="K229" s="21" t="n">
        <x:v>66</x:v>
      </x:c>
      <x:c r="L229" s="21" t="str">
        <x:v>processed精确文本</x:v>
      </x:c>
    </x:row>
    <x:row r="230">
      <x:c r="A230" s="38" t="n">
        <x:v>25</x:v>
      </x:c>
      <x:c r="B230" s="23" t="str">
        <x:v>帮我查 CBN-深圳梅沙湾U-H5H 站点下小区的站点名称、方位角和机械下倾角。</x:v>
      </x:c>
      <x:c r="C230" s="23" t="str">
        <x:v>查询站点 CBN-深圳梅沙湾U-H5H 下所有小区的站点名称、方位角和机械下倾角</x:v>
      </x:c>
      <x:c r="D230" s="23" t="str">
        <x:v>AICO总结</x:v>
      </x:c>
      <x:c r="E230" s="23" t="str">
        <x:v>无tool_calls</x:v>
      </x:c>
      <x:c r="F230" s="21" t="n">
        <x:v>1</x:v>
      </x:c>
      <x:c r="G230" s="21" t="str">
        <x:v>2026-08-12T10:17:46.406</x:v>
      </x:c>
      <x:c r="H230" s="36" t="n">
        <x:v>6616.833</x:v>
      </x:c>
      <x:c r="I230" s="36" t="n">
        <x:f>H230/1000</x:f>
        <x:v>6.616833</x:v>
      </x:c>
      <x:c r="J230" s="21" t="str">
        <x:v>data2/dsv4_2_aico.jsonl</x:v>
      </x:c>
      <x:c r="K230" s="21" t="n">
        <x:v>106</x:v>
      </x:c>
      <x:c r="L230" s="21" t="str">
        <x:v>original精确文本</x:v>
      </x:c>
    </x:row>
    <x:row r="231">
      <x:c r="A231" s="38" t="n">
        <x:v>25</x:v>
      </x:c>
      <x:c r="B231" s="23" t="str">
        <x:v>帮我查 CBN-深圳梅沙湾U-H5H 站点下小区的站点名称、方位角和机械下倾角。</x:v>
      </x:c>
      <x:c r="C231" s="23" t="str">
        <x:v>查询站点 CBN-深圳梅沙湾U-H5H 下所有小区的站点名称、方位角和机械下倾角</x:v>
      </x:c>
      <x:c r="D231" s="23" t="str">
        <x:v>问题推荐</x:v>
      </x:c>
      <x:c r="E231" s="23" t="str">
        <x:v>后续问题推荐</x:v>
      </x:c>
      <x:c r="F231" s="21" t="n">
        <x:v>1</x:v>
      </x:c>
      <x:c r="G231" s="21" t="str">
        <x:v>2026-08-12T10:17:53.438</x:v>
      </x:c>
      <x:c r="H231" s="36" t="n">
        <x:v>5573.454</x:v>
      </x:c>
      <x:c r="I231" s="36" t="n">
        <x:f>H231/1000</x:f>
        <x:v>5.573454</x:v>
      </x:c>
      <x:c r="J231" s="21" t="str">
        <x:v>data2/dsv4_2_recipe_ds.jsonl</x:v>
      </x:c>
      <x:c r="K231" s="21" t="n">
        <x:v>58</x:v>
      </x:c>
      <x:c r="L231" s="21" t="str">
        <x:v>original精确文本</x:v>
      </x:c>
    </x:row>
    <x:row r="232">
      <x:c r="A232" s="38" t="n">
        <x:v>26</x:v>
      </x:c>
      <x:c r="B232" s="23" t="str">
        <x:v>帮我查一下 CBN-福州仓山-火车南站西广场南侧高架桥旁C-HRHH-513 和 CBN-福州晋安-站东路三环北路交叉西C-HRRH-512 这两个小区的经度、纬度和方位角。</x:v>
      </x:c>
      <x:c r="C232" s="23" t="str">
        <x:v>查询小区 CBN-福州仓山-火车南站西广场南侧高架桥旁C-HRHH-513 和 CBN-福州晋安-站东路三环北路交叉西C-HRRH-512 的经度、纬度和方位角</x:v>
      </x:c>
      <x:c r="D232" s="23" t="str">
        <x:v>AICO Tool Call - Skill</x:v>
      </x:c>
      <x:c r="E232" s="23" t="str">
        <x:v>Skill</x:v>
      </x:c>
      <x:c r="F232" s="21" t="n">
        <x:v>1</x:v>
      </x:c>
      <x:c r="G232" s="21" t="str">
        <x:v>2026-08-12T10:17:54.291</x:v>
      </x:c>
      <x:c r="H232" s="36" t="n">
        <x:v>6157.473</x:v>
      </x:c>
      <x:c r="I232" s="36" t="n">
        <x:f>H232/1000</x:f>
        <x:v>6.1574729999999995</x:v>
      </x:c>
      <x:c r="J232" s="21" t="str">
        <x:v>data2/dsv4_2_aico.jsonl</x:v>
      </x:c>
      <x:c r="K232" s="21" t="n">
        <x:v>107</x:v>
      </x:c>
      <x:c r="L232" s="21" t="str">
        <x:v>original精确文本</x:v>
      </x:c>
    </x:row>
    <x:row r="233">
      <x:c r="A233" s="38" t="n">
        <x:v>26</x:v>
      </x:c>
      <x:c r="B233" s="23" t="str">
        <x:v>帮我查一下 CBN-福州仓山-火车南站西广场南侧高架桥旁C-HRHH-513 和 CBN-福州晋安-站东路三环北路交叉西C-HRRH-512 这两个小区的经度、纬度和方位角。</x:v>
      </x:c>
      <x:c r="C233" s="23" t="str">
        <x:v>查询小区 CBN-福州仓山-火车南站西广场南侧高架桥旁C-HRHH-513 和 CBN-福州晋安-站东路三环北路交叉西C-HRRH-512 的经度、纬度和方位角</x:v>
      </x:c>
      <x:c r="D233" s="23" t="str">
        <x:v>AICO Tool Call - Workflow</x:v>
      </x:c>
      <x:c r="E233" s="23" t="str">
        <x:v>Workflow</x:v>
      </x:c>
      <x:c r="F233" s="21" t="n">
        <x:v>1</x:v>
      </x:c>
      <x:c r="G233" s="21" t="str">
        <x:v>2026-08-12T10:18:00.607</x:v>
      </x:c>
      <x:c r="H233" s="36" t="n">
        <x:v>5547.599</x:v>
      </x:c>
      <x:c r="I233" s="36" t="n">
        <x:f>H233/1000</x:f>
        <x:v>5.547599</x:v>
      </x:c>
      <x:c r="J233" s="21" t="str">
        <x:v>data2/dsv4_2_aico.jsonl</x:v>
      </x:c>
      <x:c r="K233" s="21" t="n">
        <x:v>108</x:v>
      </x:c>
      <x:c r="L233" s="21" t="str">
        <x:v>original精确文本</x:v>
      </x:c>
    </x:row>
    <x:row r="234">
      <x:c r="A234" s="38" t="n">
        <x:v>26</x:v>
      </x:c>
      <x:c r="B234" s="23" t="str">
        <x:v>帮我查一下 CBN-福州仓山-火车南站西广场南侧高架桥旁C-HRHH-513 和 CBN-福州晋安-站东路三环北路交叉西C-HRRH-512 这两个小区的经度、纬度和方位角。</x:v>
      </x:c>
      <x:c r="C234" s="23" t="str">
        <x:v>查询小区 CBN-福州仓山-火车南站西广场南侧高架桥旁C-HRHH-513 和 CBN-福州晋安-站东路三环北路交叉西C-HRRH-512 的经度、纬度和方位角</x:v>
      </x:c>
      <x:c r="D234" s="23" t="str">
        <x:v>Recipe - DeepSeek</x:v>
      </x:c>
      <x:c r="E234" s="23" t="str">
        <x:v>DeepSeek recipe调用</x:v>
      </x:c>
      <x:c r="F234" s="21" t="n">
        <x:v>1</x:v>
      </x:c>
      <x:c r="G234" s="21" t="str">
        <x:v>2026-08-12T10:18:07.568</x:v>
      </x:c>
      <x:c r="H234" s="36" t="n">
        <x:v>4543.295</x:v>
      </x:c>
      <x:c r="I234" s="36" t="n">
        <x:f>H234/1000</x:f>
        <x:v>4.543295</x:v>
      </x:c>
      <x:c r="J234" s="21" t="str">
        <x:v>data2/dsv4_2_recipe_ds.jsonl</x:v>
      </x:c>
      <x:c r="K234" s="21" t="n">
        <x:v>59</x:v>
      </x:c>
      <x:c r="L234" s="21" t="str">
        <x:v>processed精确文本</x:v>
      </x:c>
    </x:row>
    <x:row r="235">
      <x:c r="A235" s="38" t="n">
        <x:v>26</x:v>
      </x:c>
      <x:c r="B235" s="23" t="str">
        <x:v>帮我查一下 CBN-福州仓山-火车南站西广场南侧高架桥旁C-HRHH-513 和 CBN-福州晋安-站东路三环北路交叉西C-HRRH-512 这两个小区的经度、纬度和方位角。</x:v>
      </x:c>
      <x:c r="C235" s="23" t="str">
        <x:v>查询小区 CBN-福州仓山-火车南站西广场南侧高架桥旁C-HRHH-513 和 CBN-福州晋安-站东路三环北路交叉西C-HRRH-512 的经度、纬度和方位角</x:v>
      </x:c>
      <x:c r="D235" s="23" t="str">
        <x:v>Recipe - Qwen执行</x:v>
      </x:c>
      <x:c r="E235" s="23" t="str">
        <x:v>同一问题第1次Qwen调用</x:v>
      </x:c>
      <x:c r="F235" s="21" t="n">
        <x:v>1</x:v>
      </x:c>
      <x:c r="G235" s="21" t="str">
        <x:v>2026-08-12T10:18:12.459</x:v>
      </x:c>
      <x:c r="H235" s="36" t="n">
        <x:v>1399.729</x:v>
      </x:c>
      <x:c r="I235" s="36" t="n">
        <x:f>H235/1000</x:f>
        <x:v>1.399729</x:v>
      </x:c>
      <x:c r="J235" s="21" t="str">
        <x:v>data2/qwen3_2.jsonl</x:v>
      </x:c>
      <x:c r="K235" s="21" t="n">
        <x:v>67</x:v>
      </x:c>
      <x:c r="L235" s="21" t="str">
        <x:v>processed精确文本</x:v>
      </x:c>
    </x:row>
    <x:row r="236">
      <x:c r="A236" s="38" t="n">
        <x:v>26</x:v>
      </x:c>
      <x:c r="B236" s="23" t="str">
        <x:v>帮我查一下 CBN-福州仓山-火车南站西广场南侧高架桥旁C-HRHH-513 和 CBN-福州晋安-站东路三环北路交叉西C-HRRH-512 这两个小区的经度、纬度和方位角。</x:v>
      </x:c>
      <x:c r="C236" s="23" t="str">
        <x:v>查询小区 CBN-福州仓山-火车南站西广场南侧高架桥旁C-HRHH-513 和 CBN-福州晋安-站东路三环北路交叉西C-HRRH-512 的经度、纬度和方位角</x:v>
      </x:c>
      <x:c r="D236" s="23" t="str">
        <x:v>Recipe - Qwen总结</x:v>
      </x:c>
      <x:c r="E236" s="23" t="str">
        <x:v>同一问题最后一次Qwen调用</x:v>
      </x:c>
      <x:c r="F236" s="21" t="n">
        <x:v>1</x:v>
      </x:c>
      <x:c r="G236" s="21" t="str">
        <x:v>2026-08-12T10:18:14.412</x:v>
      </x:c>
      <x:c r="H236" s="36" t="n">
        <x:v>2298.711</x:v>
      </x:c>
      <x:c r="I236" s="36" t="n">
        <x:f>H236/1000</x:f>
        <x:v>2.298711</x:v>
      </x:c>
      <x:c r="J236" s="21" t="str">
        <x:v>data2/qwen3_2.jsonl</x:v>
      </x:c>
      <x:c r="K236" s="21" t="n">
        <x:v>68</x:v>
      </x:c>
      <x:c r="L236" s="21" t="str">
        <x:v>processed精确文本</x:v>
      </x:c>
    </x:row>
    <x:row r="237">
      <x:c r="A237" s="38" t="n">
        <x:v>26</x:v>
      </x:c>
      <x:c r="B237" s="23" t="str">
        <x:v>帮我查一下 CBN-福州仓山-火车南站西广场南侧高架桥旁C-HRHH-513 和 CBN-福州晋安-站东路三环北路交叉西C-HRRH-512 这两个小区的经度、纬度和方位角。</x:v>
      </x:c>
      <x:c r="C237" s="23" t="str">
        <x:v>查询小区 CBN-福州仓山-火车南站西广场南侧高架桥旁C-HRHH-513 和 CBN-福州晋安-站东路三环北路交叉西C-HRRH-512 的经度、纬度和方位角</x:v>
      </x:c>
      <x:c r="D237" s="23" t="str">
        <x:v>AICO总结</x:v>
      </x:c>
      <x:c r="E237" s="23" t="str">
        <x:v>无tool_calls</x:v>
      </x:c>
      <x:c r="F237" s="21" t="n">
        <x:v>1</x:v>
      </x:c>
      <x:c r="G237" s="21" t="str">
        <x:v>2026-08-12T10:18:16.976</x:v>
      </x:c>
      <x:c r="H237" s="36" t="n">
        <x:v>6731.802</x:v>
      </x:c>
      <x:c r="I237" s="36" t="n">
        <x:f>H237/1000</x:f>
        <x:v>6.731802</x:v>
      </x:c>
      <x:c r="J237" s="21" t="str">
        <x:v>data2/dsv4_2_aico.jsonl</x:v>
      </x:c>
      <x:c r="K237" s="21" t="n">
        <x:v>109</x:v>
      </x:c>
      <x:c r="L237" s="21" t="str">
        <x:v>original精确文本</x:v>
      </x:c>
    </x:row>
    <x:row r="238">
      <x:c r="A238" s="38" t="n">
        <x:v>26</x:v>
      </x:c>
      <x:c r="B238" s="23" t="str">
        <x:v>帮我查一下 CBN-福州仓山-火车南站西广场南侧高架桥旁C-HRHH-513 和 CBN-福州晋安-站东路三环北路交叉西C-HRRH-512 这两个小区的经度、纬度和方位角。</x:v>
      </x:c>
      <x:c r="C238" s="23" t="str">
        <x:v>查询小区 CBN-福州仓山-火车南站西广场南侧高架桥旁C-HRHH-513 和 CBN-福州晋安-站东路三环北路交叉西C-HRRH-512 的经度、纬度和方位角</x:v>
      </x:c>
      <x:c r="D238" s="23" t="str">
        <x:v>问题推荐</x:v>
      </x:c>
      <x:c r="E238" s="23" t="str">
        <x:v>后续问题推荐</x:v>
      </x:c>
      <x:c r="F238" s="21" t="n">
        <x:v>1</x:v>
      </x:c>
      <x:c r="G238" s="21" t="str">
        <x:v>2026-08-12T10:18:24.004</x:v>
      </x:c>
      <x:c r="H238" s="36" t="n">
        <x:v>5562.998</x:v>
      </x:c>
      <x:c r="I238" s="36" t="n">
        <x:f>H238/1000</x:f>
        <x:v>5.562997999999999</x:v>
      </x:c>
      <x:c r="J238" s="21" t="str">
        <x:v>data2/dsv4_2_recipe_ds.jsonl</x:v>
      </x:c>
      <x:c r="K238" s="21" t="n">
        <x:v>60</x:v>
      </x:c>
      <x:c r="L238" s="21" t="str">
        <x:v>original精确文本</x:v>
      </x:c>
    </x:row>
    <x:row r="239">
      <x:c r="A239" s="38" t="n">
        <x:v>27</x:v>
      </x:c>
      <x:c r="B239" s="23" t="str">
        <x:v>看一下深圳奥特莱斯D-HRH 和 深圳上威梅沙二D-HRH 这两个站点下小区的天线高度和电子下倾角。</x:v>
      </x:c>
      <x:c r="C239" s="23" t="str">
        <x:v>查询站点 深圳奥特莱斯D-HRH 和 深圳上威梅沙二D-HRH 下所有小区的天线高度和电子下倾角</x:v>
      </x:c>
      <x:c r="D239" s="23" t="str">
        <x:v>AICO Tool Call - Skill</x:v>
      </x:c>
      <x:c r="E239" s="23" t="str">
        <x:v>Skill</x:v>
      </x:c>
      <x:c r="F239" s="21" t="n">
        <x:v>1</x:v>
      </x:c>
      <x:c r="G239" s="21" t="str">
        <x:v>2026-08-12T10:18:24.881</x:v>
      </x:c>
      <x:c r="H239" s="36" t="n">
        <x:v>5754.374</x:v>
      </x:c>
      <x:c r="I239" s="36" t="n">
        <x:f>H239/1000</x:f>
        <x:v>5.754373999999999</x:v>
      </x:c>
      <x:c r="J239" s="21" t="str">
        <x:v>data2/dsv4_2_aico.jsonl</x:v>
      </x:c>
      <x:c r="K239" s="21" t="n">
        <x:v>110</x:v>
      </x:c>
      <x:c r="L239" s="21" t="str">
        <x:v>original精确文本</x:v>
      </x:c>
    </x:row>
    <x:row r="240">
      <x:c r="A240" s="38" t="n">
        <x:v>27</x:v>
      </x:c>
      <x:c r="B240" s="23" t="str">
        <x:v>看一下深圳奥特莱斯D-HRH 和 深圳上威梅沙二D-HRH 这两个站点下小区的天线高度和电子下倾角。</x:v>
      </x:c>
      <x:c r="C240" s="23" t="str">
        <x:v>查询站点 深圳奥特莱斯D-HRH 和 深圳上威梅沙二D-HRH 下所有小区的天线高度和电子下倾角</x:v>
      </x:c>
      <x:c r="D240" s="23" t="str">
        <x:v>AICO Tool Call - Workflow</x:v>
      </x:c>
      <x:c r="E240" s="23" t="str">
        <x:v>Workflow</x:v>
      </x:c>
      <x:c r="F240" s="21" t="n">
        <x:v>1</x:v>
      </x:c>
      <x:c r="G240" s="21" t="str">
        <x:v>2026-08-12T10:18:30.805</x:v>
      </x:c>
      <x:c r="H240" s="36" t="n">
        <x:v>5344.409</x:v>
      </x:c>
      <x:c r="I240" s="36" t="n">
        <x:f>H240/1000</x:f>
        <x:v>5.344409</x:v>
      </x:c>
      <x:c r="J240" s="21" t="str">
        <x:v>data2/dsv4_2_aico.jsonl</x:v>
      </x:c>
      <x:c r="K240" s="21" t="n">
        <x:v>111</x:v>
      </x:c>
      <x:c r="L240" s="21" t="str">
        <x:v>original精确文本</x:v>
      </x:c>
    </x:row>
    <x:row r="241">
      <x:c r="A241" s="38" t="n">
        <x:v>27</x:v>
      </x:c>
      <x:c r="B241" s="23" t="str">
        <x:v>看一下深圳奥特莱斯D-HRH 和 深圳上威梅沙二D-HRH 这两个站点下小区的天线高度和电子下倾角。</x:v>
      </x:c>
      <x:c r="C241" s="23" t="str">
        <x:v>查询站点 深圳奥特莱斯D-HRH 和 深圳上威梅沙二D-HRH 下所有小区的天线高度和电子下倾角</x:v>
      </x:c>
      <x:c r="D241" s="23" t="str">
        <x:v>Recipe - DeepSeek</x:v>
      </x:c>
      <x:c r="E241" s="23" t="str">
        <x:v>DeepSeek recipe调用</x:v>
      </x:c>
      <x:c r="F241" s="21" t="n">
        <x:v>1</x:v>
      </x:c>
      <x:c r="G241" s="21" t="str">
        <x:v>2026-08-12T10:18:37.368</x:v>
      </x:c>
      <x:c r="H241" s="36" t="n">
        <x:v>3510.606</x:v>
      </x:c>
      <x:c r="I241" s="36" t="n">
        <x:f>H241/1000</x:f>
        <x:v>3.510606</x:v>
      </x:c>
      <x:c r="J241" s="21" t="str">
        <x:v>data2/dsv4_2_recipe_ds.jsonl</x:v>
      </x:c>
      <x:c r="K241" s="21" t="n">
        <x:v>61</x:v>
      </x:c>
      <x:c r="L241" s="21" t="str">
        <x:v>processed精确文本</x:v>
      </x:c>
    </x:row>
    <x:row r="242">
      <x:c r="A242" s="38" t="n">
        <x:v>27</x:v>
      </x:c>
      <x:c r="B242" s="23" t="str">
        <x:v>看一下深圳奥特莱斯D-HRH 和 深圳上威梅沙二D-HRH 这两个站点下小区的天线高度和电子下倾角。</x:v>
      </x:c>
      <x:c r="C242" s="23" t="str">
        <x:v>查询站点 深圳奥特莱斯D-HRH 和 深圳上威梅沙二D-HRH 下所有小区的天线高度和电子下倾角</x:v>
      </x:c>
      <x:c r="D242" s="23" t="str">
        <x:v>Recipe - Qwen执行</x:v>
      </x:c>
      <x:c r="E242" s="23" t="str">
        <x:v>同一问题第1次Qwen调用</x:v>
      </x:c>
      <x:c r="F242" s="21" t="n">
        <x:v>1</x:v>
      </x:c>
      <x:c r="G242" s="21" t="str">
        <x:v>2026-08-12T10:18:41.216</x:v>
      </x:c>
      <x:c r="H242" s="36" t="n">
        <x:v>1271.381</x:v>
      </x:c>
      <x:c r="I242" s="36" t="n">
        <x:f>H242/1000</x:f>
        <x:v>1.271381</x:v>
      </x:c>
      <x:c r="J242" s="21" t="str">
        <x:v>data2/qwen3_2.jsonl</x:v>
      </x:c>
      <x:c r="K242" s="21" t="n">
        <x:v>69</x:v>
      </x:c>
      <x:c r="L242" s="21" t="str">
        <x:v>processed精确文本</x:v>
      </x:c>
    </x:row>
    <x:row r="243">
      <x:c r="A243" s="38" t="n">
        <x:v>27</x:v>
      </x:c>
      <x:c r="B243" s="23" t="str">
        <x:v>看一下深圳奥特莱斯D-HRH 和 深圳上威梅沙二D-HRH 这两个站点下小区的天线高度和电子下倾角。</x:v>
      </x:c>
      <x:c r="C243" s="23" t="str">
        <x:v>查询站点 深圳奥特莱斯D-HRH 和 深圳上威梅沙二D-HRH 下所有小区的天线高度和电子下倾角</x:v>
      </x:c>
      <x:c r="D243" s="23" t="str">
        <x:v>Recipe - Qwen总结</x:v>
      </x:c>
      <x:c r="E243" s="23" t="str">
        <x:v>同一问题最后一次Qwen调用</x:v>
      </x:c>
      <x:c r="F243" s="21" t="n">
        <x:v>1</x:v>
      </x:c>
      <x:c r="G243" s="21" t="str">
        <x:v>2026-08-12T10:18:42.976</x:v>
      </x:c>
      <x:c r="H243" s="36" t="n">
        <x:v>3182.303</x:v>
      </x:c>
      <x:c r="I243" s="36" t="n">
        <x:f>H243/1000</x:f>
        <x:v>3.182303</x:v>
      </x:c>
      <x:c r="J243" s="21" t="str">
        <x:v>data2/qwen3_2.jsonl</x:v>
      </x:c>
      <x:c r="K243" s="21" t="n">
        <x:v>70</x:v>
      </x:c>
      <x:c r="L243" s="21" t="str">
        <x:v>processed精确文本</x:v>
      </x:c>
    </x:row>
    <x:row r="244">
      <x:c r="A244" s="38" t="n">
        <x:v>27</x:v>
      </x:c>
      <x:c r="B244" s="23" t="str">
        <x:v>看一下深圳奥特莱斯D-HRH 和 深圳上威梅沙二D-HRH 这两个站点下小区的天线高度和电子下倾角。</x:v>
      </x:c>
      <x:c r="C244" s="23" t="str">
        <x:v>查询站点 深圳奥特莱斯D-HRH 和 深圳上威梅沙二D-HRH 下所有小区的天线高度和电子下倾角</x:v>
      </x:c>
      <x:c r="D244" s="23" t="str">
        <x:v>AICO总结</x:v>
      </x:c>
      <x:c r="E244" s="23" t="str">
        <x:v>无tool_calls</x:v>
      </x:c>
      <x:c r="F244" s="21" t="n">
        <x:v>1</x:v>
      </x:c>
      <x:c r="G244" s="21" t="str">
        <x:v>2026-08-12T10:18:46.423</x:v>
      </x:c>
      <x:c r="H244" s="36" t="n">
        <x:v>8338.003</x:v>
      </x:c>
      <x:c r="I244" s="36" t="n">
        <x:f>H244/1000</x:f>
        <x:v>8.338003</x:v>
      </x:c>
      <x:c r="J244" s="21" t="str">
        <x:v>data2/dsv4_2_aico.jsonl</x:v>
      </x:c>
      <x:c r="K244" s="21" t="n">
        <x:v>112</x:v>
      </x:c>
      <x:c r="L244" s="21" t="str">
        <x:v>original精确文本</x:v>
      </x:c>
    </x:row>
    <x:row r="245">
      <x:c r="A245" s="38" t="n">
        <x:v>27</x:v>
      </x:c>
      <x:c r="B245" s="23" t="str">
        <x:v>看一下深圳奥特莱斯D-HRH 和 深圳上威梅沙二D-HRH 这两个站点下小区的天线高度和电子下倾角。</x:v>
      </x:c>
      <x:c r="C245" s="23" t="str">
        <x:v>查询站点 深圳奥特莱斯D-HRH 和 深圳上威梅沙二D-HRH 下所有小区的天线高度和电子下倾角</x:v>
      </x:c>
      <x:c r="D245" s="23" t="str">
        <x:v>问题推荐</x:v>
      </x:c>
      <x:c r="E245" s="23" t="str">
        <x:v>后续问题推荐</x:v>
      </x:c>
      <x:c r="F245" s="21" t="n">
        <x:v>1</x:v>
      </x:c>
      <x:c r="G245" s="21" t="str">
        <x:v>2026-08-12T10:18:55.257</x:v>
      </x:c>
      <x:c r="H245" s="36" t="n">
        <x:v>5432.929</x:v>
      </x:c>
      <x:c r="I245" s="36" t="n">
        <x:f>H245/1000</x:f>
        <x:v>5.432929</x:v>
      </x:c>
      <x:c r="J245" s="21" t="str">
        <x:v>data2/dsv4_2_recipe_ds.jsonl</x:v>
      </x:c>
      <x:c r="K245" s="21" t="n">
        <x:v>62</x:v>
      </x:c>
      <x:c r="L245" s="21" t="str">
        <x:v>original精确文本</x:v>
      </x:c>
    </x:row>
    <x:row r="246">
      <x:c r="A246" s="38" t="n">
        <x:v>28</x:v>
      </x:c>
      <x:c r="B246" s="23" t="str">
        <x:v>找出 CBN-深圳大梅沙二U-H5H-0711、CBN-深圳盐梅路一U-H5H-0712 和 CBN-深圳东海岸三[CBN-深圳天麓八区U-H5H]U-H5H-0711 这三个小区的站点名称。</x:v>
      </x:c>
      <x:c r="C246" s="23" t="str">
        <x:v>查询小区 CBN-深圳大梅沙二U-H5H-0711、CBN-深圳盐梅路一U-H5H-0712 和 CBN-深圳东海岸三[CBN-深圳天麓八区U-H5H]U-H5H-0711 的站点名称</x:v>
      </x:c>
      <x:c r="D246" s="23" t="str">
        <x:v>AICO Tool Call - Skill</x:v>
      </x:c>
      <x:c r="E246" s="23" t="str">
        <x:v>Skill</x:v>
      </x:c>
      <x:c r="F246" s="21" t="n">
        <x:v>1</x:v>
      </x:c>
      <x:c r="G246" s="21" t="str">
        <x:v>2026-08-12T10:18:56.084</x:v>
      </x:c>
      <x:c r="H246" s="36" t="n">
        <x:v>6780.655</x:v>
      </x:c>
      <x:c r="I246" s="36" t="n">
        <x:f>H246/1000</x:f>
        <x:v>6.780654999999999</x:v>
      </x:c>
      <x:c r="J246" s="21" t="str">
        <x:v>data2/dsv4_2_aico.jsonl</x:v>
      </x:c>
      <x:c r="K246" s="21" t="n">
        <x:v>113</x:v>
      </x:c>
      <x:c r="L246" s="21" t="str">
        <x:v>original精确文本</x:v>
      </x:c>
    </x:row>
    <x:row r="247">
      <x:c r="A247" s="38" t="n">
        <x:v>28</x:v>
      </x:c>
      <x:c r="B247" s="23" t="str">
        <x:v>找出 CBN-深圳大梅沙二U-H5H-0711、CBN-深圳盐梅路一U-H5H-0712 和 CBN-深圳东海岸三[CBN-深圳天麓八区U-H5H]U-H5H-0711 这三个小区的站点名称。</x:v>
      </x:c>
      <x:c r="C247" s="23" t="str">
        <x:v>查询小区 CBN-深圳大梅沙二U-H5H-0711、CBN-深圳盐梅路一U-H5H-0712 和 CBN-深圳东海岸三[CBN-深圳天麓八区U-H5H]U-H5H-0711 的站点名称</x:v>
      </x:c>
      <x:c r="D247" s="23" t="str">
        <x:v>AICO Tool Call - Workflow</x:v>
      </x:c>
      <x:c r="E247" s="23" t="str">
        <x:v>Workflow</x:v>
      </x:c>
      <x:c r="F247" s="21" t="n">
        <x:v>1</x:v>
      </x:c>
      <x:c r="G247" s="21" t="str">
        <x:v>2026-08-12T10:19:03.016</x:v>
      </x:c>
      <x:c r="H247" s="36" t="n">
        <x:v>9176.216</x:v>
      </x:c>
      <x:c r="I247" s="36" t="n">
        <x:f>H247/1000</x:f>
        <x:v>9.176216</x:v>
      </x:c>
      <x:c r="J247" s="21" t="str">
        <x:v>data2/dsv4_2_aico.jsonl</x:v>
      </x:c>
      <x:c r="K247" s="21" t="n">
        <x:v>114</x:v>
      </x:c>
      <x:c r="L247" s="21" t="str">
        <x:v>original精确文本</x:v>
      </x:c>
    </x:row>
    <x:row r="248">
      <x:c r="A248" s="38" t="n">
        <x:v>28</x:v>
      </x:c>
      <x:c r="B248" s="23" t="str">
        <x:v>找出 CBN-深圳大梅沙二U-H5H-0711、CBN-深圳盐梅路一U-H5H-0712 和 CBN-深圳东海岸三[CBN-深圳天麓八区U-H5H]U-H5H-0711 这三个小区的站点名称。</x:v>
      </x:c>
      <x:c r="C248" s="23" t="str">
        <x:v>查询小区 CBN-深圳大梅沙二U-H5H-0711、CBN-深圳盐梅路一U-H5H-0712 和 CBN-深圳东海岸三[CBN-深圳天麓八区U-H5H]U-H5H-0711 的站点名称</x:v>
      </x:c>
      <x:c r="D248" s="23" t="str">
        <x:v>Recipe - DeepSeek</x:v>
      </x:c>
      <x:c r="E248" s="23" t="str">
        <x:v>DeepSeek recipe调用</x:v>
      </x:c>
      <x:c r="F248" s="21" t="n">
        <x:v>1</x:v>
      </x:c>
      <x:c r="G248" s="21" t="str">
        <x:v>2026-08-12T10:19:13.649</x:v>
      </x:c>
      <x:c r="H248" s="36" t="n">
        <x:v>4586.729</x:v>
      </x:c>
      <x:c r="I248" s="36" t="n">
        <x:f>H248/1000</x:f>
        <x:v>4.586729</x:v>
      </x:c>
      <x:c r="J248" s="21" t="str">
        <x:v>data2/dsv4_2_recipe_ds.jsonl</x:v>
      </x:c>
      <x:c r="K248" s="21" t="n">
        <x:v>63</x:v>
      </x:c>
      <x:c r="L248" s="21" t="str">
        <x:v>processed精确文本</x:v>
      </x:c>
    </x:row>
    <x:row r="249">
      <x:c r="A249" s="38" t="n">
        <x:v>28</x:v>
      </x:c>
      <x:c r="B249" s="23" t="str">
        <x:v>找出 CBN-深圳大梅沙二U-H5H-0711、CBN-深圳盐梅路一U-H5H-0712 和 CBN-深圳东海岸三[CBN-深圳天麓八区U-H5H]U-H5H-0711 这三个小区的站点名称。</x:v>
      </x:c>
      <x:c r="C249" s="23" t="str">
        <x:v>查询小区 CBN-深圳大梅沙二U-H5H-0711、CBN-深圳盐梅路一U-H5H-0712 和 CBN-深圳东海岸三[CBN-深圳天麓八区U-H5H]U-H5H-0711 的站点名称</x:v>
      </x:c>
      <x:c r="D249" s="23" t="str">
        <x:v>Recipe - Qwen执行</x:v>
      </x:c>
      <x:c r="E249" s="23" t="str">
        <x:v>同一问题第1次Qwen调用</x:v>
      </x:c>
      <x:c r="F249" s="21" t="n">
        <x:v>1</x:v>
      </x:c>
      <x:c r="G249" s="21" t="str">
        <x:v>2026-08-12T10:19:18.583</x:v>
      </x:c>
      <x:c r="H249" s="36" t="n">
        <x:v>1952.881</x:v>
      </x:c>
      <x:c r="I249" s="36" t="n">
        <x:f>H249/1000</x:f>
        <x:v>1.952881</x:v>
      </x:c>
      <x:c r="J249" s="21" t="str">
        <x:v>data2/qwen3_2.jsonl</x:v>
      </x:c>
      <x:c r="K249" s="21" t="n">
        <x:v>71</x:v>
      </x:c>
      <x:c r="L249" s="21" t="str">
        <x:v>processed精确文本</x:v>
      </x:c>
    </x:row>
    <x:row r="250">
      <x:c r="A250" s="38" t="n">
        <x:v>28</x:v>
      </x:c>
      <x:c r="B250" s="23" t="str">
        <x:v>找出 CBN-深圳大梅沙二U-H5H-0711、CBN-深圳盐梅路一U-H5H-0712 和 CBN-深圳东海岸三[CBN-深圳天麓八区U-H5H]U-H5H-0711 这三个小区的站点名称。</x:v>
      </x:c>
      <x:c r="C250" s="23" t="str">
        <x:v>查询小区 CBN-深圳大梅沙二U-H5H-0711、CBN-深圳盐梅路一U-H5H-0712 和 CBN-深圳东海岸三[CBN-深圳天麓八区U-H5H]U-H5H-0711 的站点名称</x:v>
      </x:c>
      <x:c r="D250" s="23" t="str">
        <x:v>Recipe - Qwen总结</x:v>
      </x:c>
      <x:c r="E250" s="23" t="str">
        <x:v>同一问题最后一次Qwen调用</x:v>
      </x:c>
      <x:c r="F250" s="21" t="n">
        <x:v>1</x:v>
      </x:c>
      <x:c r="G250" s="21" t="str">
        <x:v>2026-08-12T10:19:21.033</x:v>
      </x:c>
      <x:c r="H250" s="36" t="n">
        <x:v>2173.251</x:v>
      </x:c>
      <x:c r="I250" s="36" t="n">
        <x:f>H250/1000</x:f>
        <x:v>2.173251</x:v>
      </x:c>
      <x:c r="J250" s="21" t="str">
        <x:v>data2/qwen3_2.jsonl</x:v>
      </x:c>
      <x:c r="K250" s="21" t="n">
        <x:v>72</x:v>
      </x:c>
      <x:c r="L250" s="21" t="str">
        <x:v>processed精确文本</x:v>
      </x:c>
    </x:row>
    <x:row r="251">
      <x:c r="A251" s="38" t="n">
        <x:v>28</x:v>
      </x:c>
      <x:c r="B251" s="23" t="str">
        <x:v>找出 CBN-深圳大梅沙二U-H5H-0711、CBN-深圳盐梅路一U-H5H-0712 和 CBN-深圳东海岸三[CBN-深圳天麓八区U-H5H]U-H5H-0711 这三个小区的站点名称。</x:v>
      </x:c>
      <x:c r="C251" s="23" t="str">
        <x:v>查询小区 CBN-深圳大梅沙二U-H5H-0711、CBN-深圳盐梅路一U-H5H-0712 和 CBN-深圳东海岸三[CBN-深圳天麓八区U-H5H]U-H5H-0711 的站点名称</x:v>
      </x:c>
      <x:c r="D251" s="23" t="str">
        <x:v>AICO总结</x:v>
      </x:c>
      <x:c r="E251" s="23" t="str">
        <x:v>无tool_calls</x:v>
      </x:c>
      <x:c r="F251" s="21" t="n">
        <x:v>1</x:v>
      </x:c>
      <x:c r="G251" s="21" t="str">
        <x:v>2026-08-12T10:19:23.482</x:v>
      </x:c>
      <x:c r="H251" s="36" t="n">
        <x:v>5993.692</x:v>
      </x:c>
      <x:c r="I251" s="36" t="n">
        <x:f>H251/1000</x:f>
        <x:v>5.993692</x:v>
      </x:c>
      <x:c r="J251" s="21" t="str">
        <x:v>data2/dsv4_2_aico.jsonl</x:v>
      </x:c>
      <x:c r="K251" s="21" t="n">
        <x:v>115</x:v>
      </x:c>
      <x:c r="L251" s="21" t="str">
        <x:v>original精确文本</x:v>
      </x:c>
    </x:row>
    <x:row r="252">
      <x:c r="A252" s="38" t="n">
        <x:v>28</x:v>
      </x:c>
      <x:c r="B252" s="23" t="str">
        <x:v>找出 CBN-深圳大梅沙二U-H5H-0711、CBN-深圳盐梅路一U-H5H-0712 和 CBN-深圳东海岸三[CBN-深圳天麓八区U-H5H]U-H5H-0711 这三个小区的站点名称。</x:v>
      </x:c>
      <x:c r="C252" s="23" t="str">
        <x:v>查询小区 CBN-深圳大梅沙二U-H5H-0711、CBN-深圳盐梅路一U-H5H-0712 和 CBN-深圳东海岸三[CBN-深圳天麓八区U-H5H]U-H5H-0711 的站点名称</x:v>
      </x:c>
      <x:c r="D252" s="23" t="str">
        <x:v>问题推荐</x:v>
      </x:c>
      <x:c r="E252" s="23" t="str">
        <x:v>后续问题推荐</x:v>
      </x:c>
      <x:c r="F252" s="21" t="n">
        <x:v>1</x:v>
      </x:c>
      <x:c r="G252" s="21" t="str">
        <x:v>2026-08-12T10:19:29.856</x:v>
      </x:c>
      <x:c r="H252" s="36" t="n">
        <x:v>5169.342</x:v>
      </x:c>
      <x:c r="I252" s="36" t="n">
        <x:f>H252/1000</x:f>
        <x:v>5.169341999999999</x:v>
      </x:c>
      <x:c r="J252" s="21" t="str">
        <x:v>data2/dsv4_2_recipe_ds.jsonl</x:v>
      </x:c>
      <x:c r="K252" s="21" t="n">
        <x:v>64</x:v>
      </x:c>
      <x:c r="L252" s="21" t="str">
        <x:v>original精确文本</x:v>
      </x:c>
    </x:row>
    <x:row r="253">
      <x:c r="A253" s="38" t="n">
        <x:v>29</x:v>
      </x:c>
      <x:c r="B253" s="23" t="str">
        <x:v>对比一下 CBN-福州晋安-东浦新村4号楼C-HRHH-513 和 CBN-福州晋安-东浦新村4号楼C-HRHH-514 这两个小区的设备厂商和小区名称。</x:v>
      </x:c>
      <x:c r="C253" s="23" t="str">
        <x:v>查询小区 CBN-福州晋安-东浦新村4号楼C-HRHH-513 和 CBN-福州晋安-东浦新村4号楼C-HRHH-514 的设备厂商和小区名称</x:v>
      </x:c>
      <x:c r="D253" s="23" t="str">
        <x:v>AICO Tool Call - Skill</x:v>
      </x:c>
      <x:c r="E253" s="23" t="str">
        <x:v>Skill</x:v>
      </x:c>
      <x:c r="F253" s="21" t="n">
        <x:v>1</x:v>
      </x:c>
      <x:c r="G253" s="21" t="str">
        <x:v>2026-08-12T10:19:30.685</x:v>
      </x:c>
      <x:c r="H253" s="36" t="n">
        <x:v>5981.659</x:v>
      </x:c>
      <x:c r="I253" s="36" t="n">
        <x:f>H253/1000</x:f>
        <x:v>5.981659</x:v>
      </x:c>
      <x:c r="J253" s="21" t="str">
        <x:v>data2/dsv4_2_aico.jsonl</x:v>
      </x:c>
      <x:c r="K253" s="21" t="n">
        <x:v>116</x:v>
      </x:c>
      <x:c r="L253" s="21" t="str">
        <x:v>original精确文本</x:v>
      </x:c>
    </x:row>
    <x:row r="254">
      <x:c r="A254" s="38" t="n">
        <x:v>29</x:v>
      </x:c>
      <x:c r="B254" s="23" t="str">
        <x:v>对比一下 CBN-福州晋安-东浦新村4号楼C-HRHH-513 和 CBN-福州晋安-东浦新村4号楼C-HRHH-514 这两个小区的设备厂商和小区名称。</x:v>
      </x:c>
      <x:c r="C254" s="23" t="str">
        <x:v>查询小区 CBN-福州晋安-东浦新村4号楼C-HRHH-513 和 CBN-福州晋安-东浦新村4号楼C-HRHH-514 的设备厂商和小区名称</x:v>
      </x:c>
      <x:c r="D254" s="23" t="str">
        <x:v>AICO Tool Call - Workflow</x:v>
      </x:c>
      <x:c r="E254" s="23" t="str">
        <x:v>Workflow</x:v>
      </x:c>
      <x:c r="F254" s="21" t="n">
        <x:v>1</x:v>
      </x:c>
      <x:c r="G254" s="21" t="str">
        <x:v>2026-08-12T10:19:36.993</x:v>
      </x:c>
      <x:c r="H254" s="36" t="n">
        <x:v>5224.916</x:v>
      </x:c>
      <x:c r="I254" s="36" t="n">
        <x:f>H254/1000</x:f>
        <x:v>5.224916</x:v>
      </x:c>
      <x:c r="J254" s="21" t="str">
        <x:v>data2/dsv4_2_aico.jsonl</x:v>
      </x:c>
      <x:c r="K254" s="21" t="n">
        <x:v>117</x:v>
      </x:c>
      <x:c r="L254" s="21" t="str">
        <x:v>original精确文本</x:v>
      </x:c>
    </x:row>
    <x:row r="255">
      <x:c r="A255" s="38" t="n">
        <x:v>29</x:v>
      </x:c>
      <x:c r="B255" s="23" t="str">
        <x:v>对比一下 CBN-福州晋安-东浦新村4号楼C-HRHH-513 和 CBN-福州晋安-东浦新村4号楼C-HRHH-514 这两个小区的设备厂商和小区名称。</x:v>
      </x:c>
      <x:c r="C255" s="23" t="str">
        <x:v>查询小区 CBN-福州晋安-东浦新村4号楼C-HRHH-513 和 CBN-福州晋安-东浦新村4号楼C-HRHH-514 的设备厂商和小区名称</x:v>
      </x:c>
      <x:c r="D255" s="23" t="str">
        <x:v>Recipe - DeepSeek</x:v>
      </x:c>
      <x:c r="E255" s="23" t="str">
        <x:v>DeepSeek recipe调用</x:v>
      </x:c>
      <x:c r="F255" s="21" t="n">
        <x:v>1</x:v>
      </x:c>
      <x:c r="G255" s="21" t="str">
        <x:v>2026-08-12T10:19:43.646</x:v>
      </x:c>
      <x:c r="H255" s="36" t="n">
        <x:v>4083.327</x:v>
      </x:c>
      <x:c r="I255" s="36" t="n">
        <x:f>H255/1000</x:f>
        <x:v>4.083327000000001</x:v>
      </x:c>
      <x:c r="J255" s="21" t="str">
        <x:v>data2/dsv4_2_recipe_ds.jsonl</x:v>
      </x:c>
      <x:c r="K255" s="21" t="n">
        <x:v>65</x:v>
      </x:c>
      <x:c r="L255" s="21" t="str">
        <x:v>processed精确文本</x:v>
      </x:c>
    </x:row>
    <x:row r="256">
      <x:c r="A256" s="38" t="n">
        <x:v>29</x:v>
      </x:c>
      <x:c r="B256" s="23" t="str">
        <x:v>对比一下 CBN-福州晋安-东浦新村4号楼C-HRHH-513 和 CBN-福州晋安-东浦新村4号楼C-HRHH-514 这两个小区的设备厂商和小区名称。</x:v>
      </x:c>
      <x:c r="C256" s="23" t="str">
        <x:v>查询小区 CBN-福州晋安-东浦新村4号楼C-HRHH-513 和 CBN-福州晋安-东浦新村4号楼C-HRHH-514 的设备厂商和小区名称</x:v>
      </x:c>
      <x:c r="D256" s="23" t="str">
        <x:v>Recipe - Qwen执行</x:v>
      </x:c>
      <x:c r="E256" s="23" t="str">
        <x:v>同一问题第1次Qwen调用</x:v>
      </x:c>
      <x:c r="F256" s="21" t="n">
        <x:v>1</x:v>
      </x:c>
      <x:c r="G256" s="21" t="str">
        <x:v>2026-08-12T10:19:48.064</x:v>
      </x:c>
      <x:c r="H256" s="36" t="n">
        <x:v>1728.097</x:v>
      </x:c>
      <x:c r="I256" s="36" t="n">
        <x:f>H256/1000</x:f>
        <x:v>1.728097</x:v>
      </x:c>
      <x:c r="J256" s="21" t="str">
        <x:v>data2/qwen3_2.jsonl</x:v>
      </x:c>
      <x:c r="K256" s="21" t="n">
        <x:v>73</x:v>
      </x:c>
      <x:c r="L256" s="21" t="str">
        <x:v>processed精确文本</x:v>
      </x:c>
    </x:row>
    <x:row r="257">
      <x:c r="A257" s="38" t="n">
        <x:v>29</x:v>
      </x:c>
      <x:c r="B257" s="23" t="str">
        <x:v>对比一下 CBN-福州晋安-东浦新村4号楼C-HRHH-513 和 CBN-福州晋安-东浦新村4号楼C-HRHH-514 这两个小区的设备厂商和小区名称。</x:v>
      </x:c>
      <x:c r="C257" s="23" t="str">
        <x:v>查询小区 CBN-福州晋安-东浦新村4号楼C-HRHH-513 和 CBN-福州晋安-东浦新村4号楼C-HRHH-514 的设备厂商和小区名称</x:v>
      </x:c>
      <x:c r="D257" s="23" t="str">
        <x:v>Recipe - Qwen执行</x:v>
      </x:c>
      <x:c r="E257" s="23" t="str">
        <x:v>同一问题第2次Qwen调用</x:v>
      </x:c>
      <x:c r="F257" s="21" t="n">
        <x:v>2</x:v>
      </x:c>
      <x:c r="G257" s="21" t="str">
        <x:v>2026-08-12T10:19:50.273</x:v>
      </x:c>
      <x:c r="H257" s="36" t="n">
        <x:v>1752.039</x:v>
      </x:c>
      <x:c r="I257" s="36" t="n">
        <x:f>H257/1000</x:f>
        <x:v>1.752039</x:v>
      </x:c>
      <x:c r="J257" s="21" t="str">
        <x:v>data2/qwen3_2.jsonl</x:v>
      </x:c>
      <x:c r="K257" s="21" t="n">
        <x:v>74</x:v>
      </x:c>
      <x:c r="L257" s="21" t="str">
        <x:v>processed精确文本</x:v>
      </x:c>
    </x:row>
    <x:row r="258">
      <x:c r="A258" s="38" t="n">
        <x:v>29</x:v>
      </x:c>
      <x:c r="B258" s="23" t="str">
        <x:v>对比一下 CBN-福州晋安-东浦新村4号楼C-HRHH-513 和 CBN-福州晋安-东浦新村4号楼C-HRHH-514 这两个小区的设备厂商和小区名称。</x:v>
      </x:c>
      <x:c r="C258" s="23" t="str">
        <x:v>查询小区 CBN-福州晋安-东浦新村4号楼C-HRHH-513 和 CBN-福州晋安-东浦新村4号楼C-HRHH-514 的设备厂商和小区名称</x:v>
      </x:c>
      <x:c r="D258" s="23" t="str">
        <x:v>Recipe - Qwen总结</x:v>
      </x:c>
      <x:c r="E258" s="23" t="str">
        <x:v>同一问题最后一次Qwen调用</x:v>
      </x:c>
      <x:c r="F258" s="21" t="n">
        <x:v>1</x:v>
      </x:c>
      <x:c r="G258" s="21" t="str">
        <x:v>2026-08-12T10:19:52.572</x:v>
      </x:c>
      <x:c r="H258" s="36" t="n">
        <x:v>2867.802</x:v>
      </x:c>
      <x:c r="I258" s="36" t="n">
        <x:f>H258/1000</x:f>
        <x:v>2.867802</x:v>
      </x:c>
      <x:c r="J258" s="21" t="str">
        <x:v>data2/qwen3_2.jsonl</x:v>
      </x:c>
      <x:c r="K258" s="21" t="n">
        <x:v>75</x:v>
      </x:c>
      <x:c r="L258" s="21" t="str">
        <x:v>processed精确文本</x:v>
      </x:c>
    </x:row>
    <x:row r="259">
      <x:c r="A259" s="38" t="n">
        <x:v>29</x:v>
      </x:c>
      <x:c r="B259" s="23" t="str">
        <x:v>对比一下 CBN-福州晋安-东浦新村4号楼C-HRHH-513 和 CBN-福州晋安-东浦新村4号楼C-HRHH-514 这两个小区的设备厂商和小区名称。</x:v>
      </x:c>
      <x:c r="C259" s="23" t="str">
        <x:v>查询小区 CBN-福州晋安-东浦新村4号楼C-HRHH-513 和 CBN-福州晋安-东浦新村4号楼C-HRHH-514 的设备厂商和小区名称</x:v>
      </x:c>
      <x:c r="D259" s="23" t="str">
        <x:v>AICO总结</x:v>
      </x:c>
      <x:c r="E259" s="23" t="str">
        <x:v>无tool_calls</x:v>
      </x:c>
      <x:c r="F259" s="21" t="n">
        <x:v>1</x:v>
      </x:c>
      <x:c r="G259" s="21" t="str">
        <x:v>2026-08-12T10:19:55.716</x:v>
      </x:c>
      <x:c r="H259" s="36" t="n">
        <x:v>8708.473</x:v>
      </x:c>
      <x:c r="I259" s="36" t="n">
        <x:f>H259/1000</x:f>
        <x:v>8.708473</x:v>
      </x:c>
      <x:c r="J259" s="21" t="str">
        <x:v>data2/dsv4_2_aico.jsonl</x:v>
      </x:c>
      <x:c r="K259" s="21" t="n">
        <x:v>118</x:v>
      </x:c>
      <x:c r="L259" s="21" t="str">
        <x:v>original精确文本</x:v>
      </x:c>
    </x:row>
    <x:row r="260">
      <x:c r="A260" s="38" t="n">
        <x:v>29</x:v>
      </x:c>
      <x:c r="B260" s="23" t="str">
        <x:v>对比一下 CBN-福州晋安-东浦新村4号楼C-HRHH-513 和 CBN-福州晋安-东浦新村4号楼C-HRHH-514 这两个小区的设备厂商和小区名称。</x:v>
      </x:c>
      <x:c r="C260" s="23" t="str">
        <x:v>查询小区 CBN-福州晋安-东浦新村4号楼C-HRHH-513 和 CBN-福州晋安-东浦新村4号楼C-HRHH-514 的设备厂商和小区名称</x:v>
      </x:c>
      <x:c r="D260" s="23" t="str">
        <x:v>问题推荐</x:v>
      </x:c>
      <x:c r="E260" s="23" t="str">
        <x:v>后续问题推荐</x:v>
      </x:c>
      <x:c r="F260" s="21" t="n">
        <x:v>1</x:v>
      </x:c>
      <x:c r="G260" s="21" t="str">
        <x:v>2026-08-12T10:20:04.696</x:v>
      </x:c>
      <x:c r="H260" s="36" t="n">
        <x:v>5636.776</x:v>
      </x:c>
      <x:c r="I260" s="36" t="n">
        <x:f>H260/1000</x:f>
        <x:v>5.636776</x:v>
      </x:c>
      <x:c r="J260" s="21" t="str">
        <x:v>data2/dsv4_2_recipe_ds.jsonl</x:v>
      </x:c>
      <x:c r="K260" s="21" t="n">
        <x:v>66</x:v>
      </x:c>
      <x:c r="L260" s="21" t="str">
        <x:v>original精确文本</x:v>
      </x:c>
    </x:row>
    <x:row r="261">
      <x:c r="A261" s="38" t="n">
        <x:v>30</x:v>
      </x:c>
      <x:c r="B261" s="23" t="str">
        <x:v>确认一下 CBN-福州仓山-福州南站火车南站西北美化塔C-HRRH 和 CBN-深圳大梅沙U-H5H 这两个站点下小区的方位角和天线高度。</x:v>
      </x:c>
      <x:c r="C261" s="23" t="str">
        <x:v>查询站点 CBN-福州仓山-福州南站火车南站西北美化塔C-HRRH 和 CBN-深圳大梅沙U-H5H 下所有小区的方位角和天线高度</x:v>
      </x:c>
      <x:c r="D261" s="23" t="str">
        <x:v>AICO Tool Call - Skill</x:v>
      </x:c>
      <x:c r="E261" s="23" t="str">
        <x:v>Skill</x:v>
      </x:c>
      <x:c r="F261" s="21" t="n">
        <x:v>1</x:v>
      </x:c>
      <x:c r="G261" s="21" t="str">
        <x:v>2026-08-12T10:20:05.663</x:v>
      </x:c>
      <x:c r="H261" s="36" t="n">
        <x:v>5819.47</x:v>
      </x:c>
      <x:c r="I261" s="36" t="n">
        <x:f>H261/1000</x:f>
        <x:v>5.81947</x:v>
      </x:c>
      <x:c r="J261" s="21" t="str">
        <x:v>data2/dsv4_2_aico.jsonl</x:v>
      </x:c>
      <x:c r="K261" s="21" t="n">
        <x:v>119</x:v>
      </x:c>
      <x:c r="L261" s="21" t="str">
        <x:v>original精确文本</x:v>
      </x:c>
    </x:row>
    <x:row r="262">
      <x:c r="A262" s="38" t="n">
        <x:v>30</x:v>
      </x:c>
      <x:c r="B262" s="23" t="str">
        <x:v>确认一下 CBN-福州仓山-福州南站火车南站西北美化塔C-HRRH 和 CBN-深圳大梅沙U-H5H 这两个站点下小区的方位角和天线高度。</x:v>
      </x:c>
      <x:c r="C262" s="23" t="str">
        <x:v>查询站点 CBN-福州仓山-福州南站火车南站西北美化塔C-HRRH 和 CBN-深圳大梅沙U-H5H 下所有小区的方位角和天线高度</x:v>
      </x:c>
      <x:c r="D262" s="23" t="str">
        <x:v>AICO Tool Call - Workflow</x:v>
      </x:c>
      <x:c r="E262" s="23" t="str">
        <x:v>Workflow</x:v>
      </x:c>
      <x:c r="F262" s="21" t="n">
        <x:v>1</x:v>
      </x:c>
      <x:c r="G262" s="21" t="str">
        <x:v>2026-08-12T10:20:11.646</x:v>
      </x:c>
      <x:c r="H262" s="36" t="n">
        <x:v>5749.879</x:v>
      </x:c>
      <x:c r="I262" s="36" t="n">
        <x:f>H262/1000</x:f>
        <x:v>5.749879</x:v>
      </x:c>
      <x:c r="J262" s="21" t="str">
        <x:v>data2/dsv4_2_aico.jsonl</x:v>
      </x:c>
      <x:c r="K262" s="21" t="n">
        <x:v>120</x:v>
      </x:c>
      <x:c r="L262" s="21" t="str">
        <x:v>original精确文本</x:v>
      </x:c>
    </x:row>
    <x:row r="263">
      <x:c r="A263" s="38" t="n">
        <x:v>30</x:v>
      </x:c>
      <x:c r="B263" s="23" t="str">
        <x:v>确认一下 CBN-福州仓山-福州南站火车南站西北美化塔C-HRRH 和 CBN-深圳大梅沙U-H5H 这两个站点下小区的方位角和天线高度。</x:v>
      </x:c>
      <x:c r="C263" s="23" t="str">
        <x:v>查询站点 CBN-福州仓山-福州南站火车南站西北美化塔C-HRRH 和 CBN-深圳大梅沙U-H5H 下所有小区的方位角和天线高度</x:v>
      </x:c>
      <x:c r="D263" s="23" t="str">
        <x:v>Recipe - DeepSeek</x:v>
      </x:c>
      <x:c r="E263" s="23" t="str">
        <x:v>DeepSeek recipe调用</x:v>
      </x:c>
      <x:c r="F263" s="21" t="n">
        <x:v>1</x:v>
      </x:c>
      <x:c r="G263" s="21" t="str">
        <x:v>2026-08-12T10:20:18.829</x:v>
      </x:c>
      <x:c r="H263" s="36" t="n">
        <x:v>4222.559</x:v>
      </x:c>
      <x:c r="I263" s="36" t="n">
        <x:f>H263/1000</x:f>
        <x:v>4.222559</x:v>
      </x:c>
      <x:c r="J263" s="21" t="str">
        <x:v>data2/dsv4_2_recipe_ds.jsonl</x:v>
      </x:c>
      <x:c r="K263" s="21" t="n">
        <x:v>67</x:v>
      </x:c>
      <x:c r="L263" s="21" t="str">
        <x:v>processed精确文本</x:v>
      </x:c>
    </x:row>
    <x:row r="264">
      <x:c r="A264" s="38" t="n">
        <x:v>30</x:v>
      </x:c>
      <x:c r="B264" s="23" t="str">
        <x:v>确认一下 CBN-福州仓山-福州南站火车南站西北美化塔C-HRRH 和 CBN-深圳大梅沙U-H5H 这两个站点下小区的方位角和天线高度。</x:v>
      </x:c>
      <x:c r="C264" s="23" t="str">
        <x:v>查询站点 CBN-福州仓山-福州南站火车南站西北美化塔C-HRRH 和 CBN-深圳大梅沙U-H5H 下所有小区的方位角和天线高度</x:v>
      </x:c>
      <x:c r="D264" s="23" t="str">
        <x:v>Recipe - Qwen执行</x:v>
      </x:c>
      <x:c r="E264" s="23" t="str">
        <x:v>同一问题第1次Qwen调用</x:v>
      </x:c>
      <x:c r="F264" s="21" t="n">
        <x:v>1</x:v>
      </x:c>
      <x:c r="G264" s="21" t="str">
        <x:v>2026-08-12T10:20:23.376</x:v>
      </x:c>
      <x:c r="H264" s="36" t="n">
        <x:v>1569.966</x:v>
      </x:c>
      <x:c r="I264" s="36" t="n">
        <x:f>H264/1000</x:f>
        <x:v>1.569966</x:v>
      </x:c>
      <x:c r="J264" s="21" t="str">
        <x:v>data2/qwen3_2.jsonl</x:v>
      </x:c>
      <x:c r="K264" s="21" t="n">
        <x:v>76</x:v>
      </x:c>
      <x:c r="L264" s="21" t="str">
        <x:v>processed精确文本</x:v>
      </x:c>
    </x:row>
    <x:row r="265">
      <x:c r="A265" s="38" t="n">
        <x:v>30</x:v>
      </x:c>
      <x:c r="B265" s="23" t="str">
        <x:v>确认一下 CBN-福州仓山-福州南站火车南站西北美化塔C-HRRH 和 CBN-深圳大梅沙U-H5H 这两个站点下小区的方位角和天线高度。</x:v>
      </x:c>
      <x:c r="C265" s="23" t="str">
        <x:v>查询站点 CBN-福州仓山-福州南站火车南站西北美化塔C-HRRH 和 CBN-深圳大梅沙U-H5H 下所有小区的方位角和天线高度</x:v>
      </x:c>
      <x:c r="D265" s="23" t="str">
        <x:v>Recipe - Qwen执行</x:v>
      </x:c>
      <x:c r="E265" s="23" t="str">
        <x:v>同一问题第2次Qwen调用</x:v>
      </x:c>
      <x:c r="F265" s="21" t="n">
        <x:v>2</x:v>
      </x:c>
      <x:c r="G265" s="21" t="str">
        <x:v>2026-08-12T10:20:25.451</x:v>
      </x:c>
      <x:c r="H265" s="36" t="n">
        <x:v>1542.737</x:v>
      </x:c>
      <x:c r="I265" s="36" t="n">
        <x:f>H265/1000</x:f>
        <x:v>1.542737</x:v>
      </x:c>
      <x:c r="J265" s="21" t="str">
        <x:v>data2/qwen3_2.jsonl</x:v>
      </x:c>
      <x:c r="K265" s="21" t="n">
        <x:v>77</x:v>
      </x:c>
      <x:c r="L265" s="21" t="str">
        <x:v>processed精确文本</x:v>
      </x:c>
    </x:row>
    <x:row r="266">
      <x:c r="A266" s="38" t="n">
        <x:v>30</x:v>
      </x:c>
      <x:c r="B266" s="23" t="str">
        <x:v>确认一下 CBN-福州仓山-福州南站火车南站西北美化塔C-HRRH 和 CBN-深圳大梅沙U-H5H 这两个站点下小区的方位角和天线高度。</x:v>
      </x:c>
      <x:c r="C266" s="23" t="str">
        <x:v>查询站点 CBN-福州仓山-福州南站火车南站西北美化塔C-HRRH 和 CBN-深圳大梅沙U-H5H 下所有小区的方位角和天线高度</x:v>
      </x:c>
      <x:c r="D266" s="23" t="str">
        <x:v>Recipe - Qwen总结</x:v>
      </x:c>
      <x:c r="E266" s="23" t="str">
        <x:v>同一问题最后一次Qwen调用</x:v>
      </x:c>
      <x:c r="F266" s="21" t="n">
        <x:v>1</x:v>
      </x:c>
      <x:c r="G266" s="21" t="str">
        <x:v>2026-08-12T10:20:27.490</x:v>
      </x:c>
      <x:c r="H266" s="36" t="n">
        <x:v>2803.466</x:v>
      </x:c>
      <x:c r="I266" s="36" t="n">
        <x:f>H266/1000</x:f>
        <x:v>2.803466</x:v>
      </x:c>
      <x:c r="J266" s="21" t="str">
        <x:v>data2/qwen3_2.jsonl</x:v>
      </x:c>
      <x:c r="K266" s="21" t="n">
        <x:v>78</x:v>
      </x:c>
      <x:c r="L266" s="21" t="str">
        <x:v>processed精确文本</x:v>
      </x:c>
    </x:row>
    <x:row r="267">
      <x:c r="A267" s="38" t="n">
        <x:v>30</x:v>
      </x:c>
      <x:c r="B267" s="23" t="str">
        <x:v>确认一下 CBN-福州仓山-福州南站火车南站西北美化塔C-HRRH 和 CBN-深圳大梅沙U-H5H 这两个站点下小区的方位角和天线高度。</x:v>
      </x:c>
      <x:c r="C267" s="23" t="str">
        <x:v>查询站点 CBN-福州仓山-福州南站火车南站西北美化塔C-HRRH 和 CBN-深圳大梅沙U-H5H 下所有小区的方位角和天线高度</x:v>
      </x:c>
      <x:c r="D267" s="23" t="str">
        <x:v>AICO总结</x:v>
      </x:c>
      <x:c r="E267" s="23" t="str">
        <x:v>无tool_calls</x:v>
      </x:c>
      <x:c r="F267" s="21" t="n">
        <x:v>1</x:v>
      </x:c>
      <x:c r="G267" s="21" t="str">
        <x:v>2026-08-12T10:20:30.546</x:v>
      </x:c>
      <x:c r="H267" s="36" t="n">
        <x:v>8614.084</x:v>
      </x:c>
      <x:c r="I267" s="36" t="n">
        <x:f>H267/1000</x:f>
        <x:v>8.614084</x:v>
      </x:c>
      <x:c r="J267" s="21" t="str">
        <x:v>data2/dsv4_2_aico.jsonl</x:v>
      </x:c>
      <x:c r="K267" s="21" t="n">
        <x:v>121</x:v>
      </x:c>
      <x:c r="L267" s="21" t="str">
        <x:v>original精确文本</x:v>
      </x:c>
    </x:row>
    <x:row r="268">
      <x:c r="A268" s="38" t="n">
        <x:v>30</x:v>
      </x:c>
      <x:c r="B268" s="23" t="str">
        <x:v>确认一下 CBN-福州仓山-福州南站火车南站西北美化塔C-HRRH 和 CBN-深圳大梅沙U-H5H 这两个站点下小区的方位角和天线高度。</x:v>
      </x:c>
      <x:c r="C268" s="23" t="str">
        <x:v>查询站点 CBN-福州仓山-福州南站火车南站西北美化塔C-HRRH 和 CBN-深圳大梅沙U-H5H 下所有小区的方位角和天线高度</x:v>
      </x:c>
      <x:c r="D268" s="23" t="str">
        <x:v>问题推荐</x:v>
      </x:c>
      <x:c r="E268" s="23" t="str">
        <x:v>后续问题推荐</x:v>
      </x:c>
      <x:c r="F268" s="21" t="n">
        <x:v>1</x:v>
      </x:c>
      <x:c r="G268" s="21" t="str">
        <x:v>2026-08-12T10:20:39.430</x:v>
      </x:c>
      <x:c r="H268" s="36" t="n">
        <x:v>7725.6</x:v>
      </x:c>
      <x:c r="I268" s="36" t="n">
        <x:f>H268/1000</x:f>
        <x:v>7.7256</x:v>
      </x:c>
      <x:c r="J268" s="21" t="str">
        <x:v>data2/dsv4_2_recipe_ds.jsonl</x:v>
      </x:c>
      <x:c r="K268" s="21" t="n">
        <x:v>68</x:v>
      </x:c>
      <x:c r="L268" s="21" t="str">
        <x:v>original精确文本</x:v>
      </x:c>
    </x:row>
    <x:row r="269">
      <x:c r="A269" s="38" t="n">
        <x:v>31</x:v>
      </x:c>
      <x:c r="B269" s="23" t="str">
        <x:v>帮我查一下深圳大梅沙D-HRH站点下5G小区的小区名称和方位角。</x:v>
      </x:c>
      <x:c r="C269" s="23" t="str">
        <x:v>查询深圳大梅沙D-HRH站点下5G小区的小区名称和方位角</x:v>
      </x:c>
      <x:c r="D269" s="23" t="str">
        <x:v>AICO Tool Call - Skill</x:v>
      </x:c>
      <x:c r="E269" s="23" t="str">
        <x:v>Skill</x:v>
      </x:c>
      <x:c r="F269" s="21" t="n">
        <x:v>1</x:v>
      </x:c>
      <x:c r="G269" s="21" t="str">
        <x:v>2026-08-12T10:20:40.342</x:v>
      </x:c>
      <x:c r="H269" s="36" t="n">
        <x:v>8082.736</x:v>
      </x:c>
      <x:c r="I269" s="36" t="n">
        <x:f>H269/1000</x:f>
        <x:v>8.082736</x:v>
      </x:c>
      <x:c r="J269" s="21" t="str">
        <x:v>data2/dsv4_2_aico.jsonl</x:v>
      </x:c>
      <x:c r="K269" s="21" t="n">
        <x:v>122</x:v>
      </x:c>
      <x:c r="L269" s="21" t="str">
        <x:v>original精确文本</x:v>
      </x:c>
    </x:row>
    <x:row r="270">
      <x:c r="A270" s="38" t="n">
        <x:v>31</x:v>
      </x:c>
      <x:c r="B270" s="23" t="str">
        <x:v>帮我查一下深圳大梅沙D-HRH站点下5G小区的小区名称和方位角。</x:v>
      </x:c>
      <x:c r="C270" s="23" t="str">
        <x:v>查询深圳大梅沙D-HRH站点下5G小区的小区名称和方位角</x:v>
      </x:c>
      <x:c r="D270" s="23" t="str">
        <x:v>AICO Tool Call - Workflow</x:v>
      </x:c>
      <x:c r="E270" s="23" t="str">
        <x:v>Workflow</x:v>
      </x:c>
      <x:c r="F270" s="21" t="n">
        <x:v>1</x:v>
      </x:c>
      <x:c r="G270" s="21" t="str">
        <x:v>2026-08-12T10:20:48.594</x:v>
      </x:c>
      <x:c r="H270" s="36" t="n">
        <x:v>5422.004</x:v>
      </x:c>
      <x:c r="I270" s="36" t="n">
        <x:f>H270/1000</x:f>
        <x:v>5.422004</x:v>
      </x:c>
      <x:c r="J270" s="21" t="str">
        <x:v>data2/dsv4_2_aico.jsonl</x:v>
      </x:c>
      <x:c r="K270" s="21" t="n">
        <x:v>123</x:v>
      </x:c>
      <x:c r="L270" s="21" t="str">
        <x:v>original精确文本</x:v>
      </x:c>
    </x:row>
    <x:row r="271">
      <x:c r="A271" s="38" t="n">
        <x:v>31</x:v>
      </x:c>
      <x:c r="B271" s="23" t="str">
        <x:v>帮我查一下深圳大梅沙D-HRH站点下5G小区的小区名称和方位角。</x:v>
      </x:c>
      <x:c r="C271" s="23" t="str">
        <x:v>查询深圳大梅沙D-HRH站点下5G小区的小区名称和方位角</x:v>
      </x:c>
      <x:c r="D271" s="23" t="str">
        <x:v>Recipe - DeepSeek</x:v>
      </x:c>
      <x:c r="E271" s="23" t="str">
        <x:v>DeepSeek recipe调用</x:v>
      </x:c>
      <x:c r="F271" s="21" t="n">
        <x:v>1</x:v>
      </x:c>
      <x:c r="G271" s="21" t="str">
        <x:v>2026-08-12T10:20:55.443</x:v>
      </x:c>
      <x:c r="H271" s="36" t="n">
        <x:v>3084.275</x:v>
      </x:c>
      <x:c r="I271" s="36" t="n">
        <x:f>H271/1000</x:f>
        <x:v>3.084275</x:v>
      </x:c>
      <x:c r="J271" s="21" t="str">
        <x:v>data2/dsv4_2_recipe_ds.jsonl</x:v>
      </x:c>
      <x:c r="K271" s="21" t="n">
        <x:v>69</x:v>
      </x:c>
      <x:c r="L271" s="21" t="str">
        <x:v>processed精确文本</x:v>
      </x:c>
    </x:row>
    <x:row r="272">
      <x:c r="A272" s="38" t="n">
        <x:v>31</x:v>
      </x:c>
      <x:c r="B272" s="23" t="str">
        <x:v>帮我查一下深圳大梅沙D-HRH站点下5G小区的小区名称和方位角。</x:v>
      </x:c>
      <x:c r="C272" s="23" t="str">
        <x:v>查询深圳大梅沙D-HRH站点下5G小区的小区名称和方位角</x:v>
      </x:c>
      <x:c r="D272" s="23" t="str">
        <x:v>Recipe - Qwen执行</x:v>
      </x:c>
      <x:c r="E272" s="23" t="str">
        <x:v>同一问题第1次Qwen调用</x:v>
      </x:c>
      <x:c r="F272" s="21" t="n">
        <x:v>1</x:v>
      </x:c>
      <x:c r="G272" s="21" t="str">
        <x:v>2026-08-12T10:20:58.875</x:v>
      </x:c>
      <x:c r="H272" s="36" t="n">
        <x:v>1305.668</x:v>
      </x:c>
      <x:c r="I272" s="36" t="n">
        <x:f>H272/1000</x:f>
        <x:v>1.3056679999999998</x:v>
      </x:c>
      <x:c r="J272" s="21" t="str">
        <x:v>data2/qwen3_2.jsonl</x:v>
      </x:c>
      <x:c r="K272" s="21" t="n">
        <x:v>79</x:v>
      </x:c>
      <x:c r="L272" s="21" t="str">
        <x:v>processed精确文本</x:v>
      </x:c>
    </x:row>
    <x:row r="273">
      <x:c r="A273" s="38" t="n">
        <x:v>31</x:v>
      </x:c>
      <x:c r="B273" s="23" t="str">
        <x:v>帮我查一下深圳大梅沙D-HRH站点下5G小区的小区名称和方位角。</x:v>
      </x:c>
      <x:c r="C273" s="23" t="str">
        <x:v>查询深圳大梅沙D-HRH站点下5G小区的小区名称和方位角</x:v>
      </x:c>
      <x:c r="D273" s="23" t="str">
        <x:v>Recipe - Qwen总结</x:v>
      </x:c>
      <x:c r="E273" s="23" t="str">
        <x:v>同一问题最后一次Qwen调用</x:v>
      </x:c>
      <x:c r="F273" s="21" t="n">
        <x:v>1</x:v>
      </x:c>
      <x:c r="G273" s="21" t="str">
        <x:v>2026-08-12T10:21:00.669</x:v>
      </x:c>
      <x:c r="H273" s="36" t="n">
        <x:v>1959.6</x:v>
      </x:c>
      <x:c r="I273" s="36" t="n">
        <x:f>H273/1000</x:f>
        <x:v>1.9596</x:v>
      </x:c>
      <x:c r="J273" s="21" t="str">
        <x:v>data2/qwen3_2.jsonl</x:v>
      </x:c>
      <x:c r="K273" s="21" t="n">
        <x:v>80</x:v>
      </x:c>
      <x:c r="L273" s="21" t="str">
        <x:v>processed精确文本</x:v>
      </x:c>
    </x:row>
    <x:row r="274">
      <x:c r="A274" s="38" t="n">
        <x:v>31</x:v>
      </x:c>
      <x:c r="B274" s="23" t="str">
        <x:v>帮我查一下深圳大梅沙D-HRH站点下5G小区的小区名称和方位角。</x:v>
      </x:c>
      <x:c r="C274" s="23" t="str">
        <x:v>查询深圳大梅沙D-HRH站点下5G小区的小区名称和方位角</x:v>
      </x:c>
      <x:c r="D274" s="23" t="str">
        <x:v>AICO总结</x:v>
      </x:c>
      <x:c r="E274" s="23" t="str">
        <x:v>无tool_calls</x:v>
      </x:c>
      <x:c r="F274" s="21" t="n">
        <x:v>1</x:v>
      </x:c>
      <x:c r="G274" s="21" t="str">
        <x:v>2026-08-12T10:21:02.883</x:v>
      </x:c>
      <x:c r="H274" s="36" t="n">
        <x:v>5308.282</x:v>
      </x:c>
      <x:c r="I274" s="36" t="n">
        <x:f>H274/1000</x:f>
        <x:v>5.308282</x:v>
      </x:c>
      <x:c r="J274" s="21" t="str">
        <x:v>data2/dsv4_2_aico.jsonl</x:v>
      </x:c>
      <x:c r="K274" s="21" t="n">
        <x:v>124</x:v>
      </x:c>
      <x:c r="L274" s="21" t="str">
        <x:v>original精确文本</x:v>
      </x:c>
    </x:row>
    <x:row r="275">
      <x:c r="A275" s="38" t="n">
        <x:v>31</x:v>
      </x:c>
      <x:c r="B275" s="23" t="str">
        <x:v>帮我查一下深圳大梅沙D-HRH站点下5G小区的小区名称和方位角。</x:v>
      </x:c>
      <x:c r="C275" s="23" t="str">
        <x:v>查询深圳大梅沙D-HRH站点下5G小区的小区名称和方位角</x:v>
      </x:c>
      <x:c r="D275" s="23" t="str">
        <x:v>问题推荐</x:v>
      </x:c>
      <x:c r="E275" s="23" t="str">
        <x:v>后续问题推荐</x:v>
      </x:c>
      <x:c r="F275" s="21" t="n">
        <x:v>1</x:v>
      </x:c>
      <x:c r="G275" s="21" t="str">
        <x:v>2026-08-12T10:21:08.459</x:v>
      </x:c>
      <x:c r="H275" s="36" t="n">
        <x:v>5498.584</x:v>
      </x:c>
      <x:c r="I275" s="36" t="n">
        <x:f>H275/1000</x:f>
        <x:v>5.498584</x:v>
      </x:c>
      <x:c r="J275" s="21" t="str">
        <x:v>data2/dsv4_2_recipe_ds.jsonl</x:v>
      </x:c>
      <x:c r="K275" s="21" t="n">
        <x:v>70</x:v>
      </x:c>
      <x:c r="L275" s="21" t="str">
        <x:v>original精确文本</x:v>
      </x:c>
    </x:row>
    <x:row r="276">
      <x:c r="A276" s="38" t="n">
        <x:v>32</x:v>
      </x:c>
      <x:c r="B276" s="23" t="str">
        <x:v>看一下CBN-深圳大梅沙二U-H5H-0712这个NR小区的机械下倾角和电子下倾角。</x:v>
      </x:c>
      <x:c r="C276" s="23" t="str">
        <x:v>查询NR小区CBN-深圳大梅沙二U-H5H-0712的机械下倾角和电子下倾角</x:v>
      </x:c>
      <x:c r="D276" s="23" t="str">
        <x:v>AICO Tool Call - Skill</x:v>
      </x:c>
      <x:c r="E276" s="23" t="str">
        <x:v>Skill</x:v>
      </x:c>
      <x:c r="F276" s="21" t="n">
        <x:v>1</x:v>
      </x:c>
      <x:c r="G276" s="21" t="str">
        <x:v>2026-08-12T10:21:09.419</x:v>
      </x:c>
      <x:c r="H276" s="36" t="n">
        <x:v>5435.818</x:v>
      </x:c>
      <x:c r="I276" s="36" t="n">
        <x:f>H276/1000</x:f>
        <x:v>5.435818</x:v>
      </x:c>
      <x:c r="J276" s="21" t="str">
        <x:v>data2/dsv4_2_aico.jsonl</x:v>
      </x:c>
      <x:c r="K276" s="21" t="n">
        <x:v>125</x:v>
      </x:c>
      <x:c r="L276" s="21" t="str">
        <x:v>original精确文本</x:v>
      </x:c>
    </x:row>
    <x:row r="277">
      <x:c r="A277" s="38" t="n">
        <x:v>32</x:v>
      </x:c>
      <x:c r="B277" s="23" t="str">
        <x:v>看一下CBN-深圳大梅沙二U-H5H-0712这个NR小区的机械下倾角和电子下倾角。</x:v>
      </x:c>
      <x:c r="C277" s="23" t="str">
        <x:v>查询NR小区CBN-深圳大梅沙二U-H5H-0712的机械下倾角和电子下倾角</x:v>
      </x:c>
      <x:c r="D277" s="23" t="str">
        <x:v>AICO Tool Call - Workflow</x:v>
      </x:c>
      <x:c r="E277" s="23" t="str">
        <x:v>Workflow</x:v>
      </x:c>
      <x:c r="F277" s="21" t="n">
        <x:v>1</x:v>
      </x:c>
      <x:c r="G277" s="21" t="str">
        <x:v>2026-08-12T10:21:15.006</x:v>
      </x:c>
      <x:c r="H277" s="36" t="n">
        <x:v>5172.708</x:v>
      </x:c>
      <x:c r="I277" s="36" t="n">
        <x:f>H277/1000</x:f>
        <x:v>5.172707999999999</x:v>
      </x:c>
      <x:c r="J277" s="21" t="str">
        <x:v>data2/dsv4_2_aico.jsonl</x:v>
      </x:c>
      <x:c r="K277" s="21" t="n">
        <x:v>126</x:v>
      </x:c>
      <x:c r="L277" s="21" t="str">
        <x:v>original精确文本</x:v>
      </x:c>
    </x:row>
    <x:row r="278">
      <x:c r="A278" s="38" t="n">
        <x:v>32</x:v>
      </x:c>
      <x:c r="B278" s="23" t="str">
        <x:v>看一下CBN-深圳大梅沙二U-H5H-0712这个NR小区的机械下倾角和电子下倾角。</x:v>
      </x:c>
      <x:c r="C278" s="23" t="str">
        <x:v>查询NR小区CBN-深圳大梅沙二U-H5H-0712的机械下倾角和电子下倾角</x:v>
      </x:c>
      <x:c r="D278" s="23" t="str">
        <x:v>Recipe - DeepSeek</x:v>
      </x:c>
      <x:c r="E278" s="23" t="str">
        <x:v>DeepSeek recipe调用</x:v>
      </x:c>
      <x:c r="F278" s="21" t="n">
        <x:v>1</x:v>
      </x:c>
      <x:c r="G278" s="21" t="str">
        <x:v>2026-08-12T10:21:21.511</x:v>
      </x:c>
      <x:c r="H278" s="36" t="n">
        <x:v>3262.846</x:v>
      </x:c>
      <x:c r="I278" s="36" t="n">
        <x:f>H278/1000</x:f>
        <x:v>3.262846</x:v>
      </x:c>
      <x:c r="J278" s="21" t="str">
        <x:v>data2/dsv4_2_recipe_ds.jsonl</x:v>
      </x:c>
      <x:c r="K278" s="21" t="n">
        <x:v>71</x:v>
      </x:c>
      <x:c r="L278" s="21" t="str">
        <x:v>processed精确文本</x:v>
      </x:c>
    </x:row>
    <x:row r="279">
      <x:c r="A279" s="38" t="n">
        <x:v>32</x:v>
      </x:c>
      <x:c r="B279" s="23" t="str">
        <x:v>看一下CBN-深圳大梅沙二U-H5H-0712这个NR小区的机械下倾角和电子下倾角。</x:v>
      </x:c>
      <x:c r="C279" s="23" t="str">
        <x:v>查询NR小区CBN-深圳大梅沙二U-H5H-0712的机械下倾角和电子下倾角</x:v>
      </x:c>
      <x:c r="D279" s="23" t="str">
        <x:v>Recipe - Qwen执行</x:v>
      </x:c>
      <x:c r="E279" s="23" t="str">
        <x:v>同一问题第1次Qwen调用</x:v>
      </x:c>
      <x:c r="F279" s="21" t="n">
        <x:v>1</x:v>
      </x:c>
      <x:c r="G279" s="21" t="str">
        <x:v>2026-08-12T10:21:25.084</x:v>
      </x:c>
      <x:c r="H279" s="36" t="n">
        <x:v>1424.599</x:v>
      </x:c>
      <x:c r="I279" s="36" t="n">
        <x:f>H279/1000</x:f>
        <x:v>1.424599</x:v>
      </x:c>
      <x:c r="J279" s="21" t="str">
        <x:v>data2/qwen3_2.jsonl</x:v>
      </x:c>
      <x:c r="K279" s="21" t="n">
        <x:v>81</x:v>
      </x:c>
      <x:c r="L279" s="21" t="str">
        <x:v>processed精确文本</x:v>
      </x:c>
    </x:row>
    <x:row r="280">
      <x:c r="A280" s="38" t="n">
        <x:v>32</x:v>
      </x:c>
      <x:c r="B280" s="23" t="str">
        <x:v>看一下CBN-深圳大梅沙二U-H5H-0712这个NR小区的机械下倾角和电子下倾角。</x:v>
      </x:c>
      <x:c r="C280" s="23" t="str">
        <x:v>查询NR小区CBN-深圳大梅沙二U-H5H-0712的机械下倾角和电子下倾角</x:v>
      </x:c>
      <x:c r="D280" s="23" t="str">
        <x:v>Recipe - Qwen总结</x:v>
      </x:c>
      <x:c r="E280" s="23" t="str">
        <x:v>同一问题最后一次Qwen调用</x:v>
      </x:c>
      <x:c r="F280" s="21" t="n">
        <x:v>1</x:v>
      </x:c>
      <x:c r="G280" s="21" t="str">
        <x:v>2026-08-12T10:21:27.033</x:v>
      </x:c>
      <x:c r="H280" s="36" t="n">
        <x:v>1520.379</x:v>
      </x:c>
      <x:c r="I280" s="36" t="n">
        <x:f>H280/1000</x:f>
        <x:v>1.520379</x:v>
      </x:c>
      <x:c r="J280" s="21" t="str">
        <x:v>data2/qwen3_2.jsonl</x:v>
      </x:c>
      <x:c r="K280" s="21" t="n">
        <x:v>82</x:v>
      </x:c>
      <x:c r="L280" s="21" t="str">
        <x:v>processed精确文本</x:v>
      </x:c>
    </x:row>
    <x:row r="281">
      <x:c r="A281" s="38" t="n">
        <x:v>32</x:v>
      </x:c>
      <x:c r="B281" s="23" t="str">
        <x:v>看一下CBN-深圳大梅沙二U-H5H-0712这个NR小区的机械下倾角和电子下倾角。</x:v>
      </x:c>
      <x:c r="C281" s="23" t="str">
        <x:v>查询NR小区CBN-深圳大梅沙二U-H5H-0712的机械下倾角和电子下倾角</x:v>
      </x:c>
      <x:c r="D281" s="23" t="str">
        <x:v>AICO总结</x:v>
      </x:c>
      <x:c r="E281" s="23" t="str">
        <x:v>无tool_calls</x:v>
      </x:c>
      <x:c r="F281" s="21" t="n">
        <x:v>1</x:v>
      </x:c>
      <x:c r="G281" s="21" t="str">
        <x:v>2026-08-12T10:21:28.810</x:v>
      </x:c>
      <x:c r="H281" s="36" t="n">
        <x:v>7607.79</x:v>
      </x:c>
      <x:c r="I281" s="36" t="n">
        <x:f>H281/1000</x:f>
        <x:v>7.60779</x:v>
      </x:c>
      <x:c r="J281" s="21" t="str">
        <x:v>data2/dsv4_2_aico.jsonl</x:v>
      </x:c>
      <x:c r="K281" s="21" t="n">
        <x:v>127</x:v>
      </x:c>
      <x:c r="L281" s="21" t="str">
        <x:v>original精确文本</x:v>
      </x:c>
    </x:row>
    <x:row r="282">
      <x:c r="A282" s="38" t="n">
        <x:v>32</x:v>
      </x:c>
      <x:c r="B282" s="23" t="str">
        <x:v>看一下CBN-深圳大梅沙二U-H5H-0712这个NR小区的机械下倾角和电子下倾角。</x:v>
      </x:c>
      <x:c r="C282" s="23" t="str">
        <x:v>查询NR小区CBN-深圳大梅沙二U-H5H-0712的机械下倾角和电子下倾角</x:v>
      </x:c>
      <x:c r="D282" s="23" t="str">
        <x:v>问题推荐</x:v>
      </x:c>
      <x:c r="E282" s="23" t="str">
        <x:v>后续问题推荐</x:v>
      </x:c>
      <x:c r="F282" s="21" t="n">
        <x:v>1</x:v>
      </x:c>
      <x:c r="G282" s="21" t="str">
        <x:v>2026-08-12T10:21:36.849</x:v>
      </x:c>
      <x:c r="H282" s="36" t="n">
        <x:v>5360.567</x:v>
      </x:c>
      <x:c r="I282" s="36" t="n">
        <x:f>H282/1000</x:f>
        <x:v>5.360567</x:v>
      </x:c>
      <x:c r="J282" s="21" t="str">
        <x:v>data2/dsv4_2_recipe_ds.jsonl</x:v>
      </x:c>
      <x:c r="K282" s="21" t="n">
        <x:v>72</x:v>
      </x:c>
      <x:c r="L282" s="21" t="str">
        <x:v>original精确文本</x:v>
      </x:c>
    </x:row>
    <x:row r="283">
      <x:c r="A283" s="38" t="n">
        <x:v>33</x:v>
      </x:c>
      <x:c r="B283" s="23" t="str">
        <x:v>找出深圳奥特莱斯D-HRH和深圳梅沙湾二D-HRH这两个站点下5G小区的站点名称、经度和纬度。</x:v>
      </x:c>
      <x:c r="C283" s="23" t="str">
        <x:v>查询深圳奥特莱斯D-HRH和深圳梅沙湾二D-HRH这两个站点下5G小区的站点名称、经度和纬度</x:v>
      </x:c>
      <x:c r="D283" s="23" t="str">
        <x:v>AICO Tool Call - Skill</x:v>
      </x:c>
      <x:c r="E283" s="23" t="str">
        <x:v>Skill</x:v>
      </x:c>
      <x:c r="F283" s="21" t="n">
        <x:v>1</x:v>
      </x:c>
      <x:c r="G283" s="21" t="str">
        <x:v>2026-08-12T10:21:37.676</x:v>
      </x:c>
      <x:c r="H283" s="36" t="n">
        <x:v>5807.398</x:v>
      </x:c>
      <x:c r="I283" s="36" t="n">
        <x:f>H283/1000</x:f>
        <x:v>5.807398</x:v>
      </x:c>
      <x:c r="J283" s="21" t="str">
        <x:v>data2/dsv4_2_aico.jsonl</x:v>
      </x:c>
      <x:c r="K283" s="21" t="n">
        <x:v>128</x:v>
      </x:c>
      <x:c r="L283" s="21" t="str">
        <x:v>original精确文本</x:v>
      </x:c>
    </x:row>
    <x:row r="284">
      <x:c r="A284" s="38" t="n">
        <x:v>33</x:v>
      </x:c>
      <x:c r="B284" s="23" t="str">
        <x:v>找出深圳奥特莱斯D-HRH和深圳梅沙湾二D-HRH这两个站点下5G小区的站点名称、经度和纬度。</x:v>
      </x:c>
      <x:c r="C284" s="23" t="str">
        <x:v>查询深圳奥特莱斯D-HRH和深圳梅沙湾二D-HRH这两个站点下5G小区的站点名称、经度和纬度</x:v>
      </x:c>
      <x:c r="D284" s="23" t="str">
        <x:v>AICO Tool Call - Workflow</x:v>
      </x:c>
      <x:c r="E284" s="23" t="str">
        <x:v>Workflow</x:v>
      </x:c>
      <x:c r="F284" s="21" t="n">
        <x:v>1</x:v>
      </x:c>
      <x:c r="G284" s="21" t="str">
        <x:v>2026-08-12T10:21:43.652</x:v>
      </x:c>
      <x:c r="H284" s="36" t="n">
        <x:v>5176.605</x:v>
      </x:c>
      <x:c r="I284" s="36" t="n">
        <x:f>H284/1000</x:f>
        <x:v>5.1766049999999995</x:v>
      </x:c>
      <x:c r="J284" s="21" t="str">
        <x:v>data2/dsv4_2_aico.jsonl</x:v>
      </x:c>
      <x:c r="K284" s="21" t="n">
        <x:v>129</x:v>
      </x:c>
      <x:c r="L284" s="21" t="str">
        <x:v>original精确文本</x:v>
      </x:c>
    </x:row>
    <x:row r="285">
      <x:c r="A285" s="38" t="n">
        <x:v>33</x:v>
      </x:c>
      <x:c r="B285" s="23" t="str">
        <x:v>找出深圳奥特莱斯D-HRH和深圳梅沙湾二D-HRH这两个站点下5G小区的站点名称、经度和纬度。</x:v>
      </x:c>
      <x:c r="C285" s="23" t="str">
        <x:v>查询深圳奥特莱斯D-HRH和深圳梅沙湾二D-HRH这两个站点下5G小区的站点名称、经度和纬度</x:v>
      </x:c>
      <x:c r="D285" s="23" t="str">
        <x:v>Recipe - DeepSeek</x:v>
      </x:c>
      <x:c r="E285" s="23" t="str">
        <x:v>DeepSeek recipe调用</x:v>
      </x:c>
      <x:c r="F285" s="21" t="n">
        <x:v>1</x:v>
      </x:c>
      <x:c r="G285" s="21" t="str">
        <x:v>2026-08-12T10:21:50.198</x:v>
      </x:c>
      <x:c r="H285" s="36" t="n">
        <x:v>3565.301</x:v>
      </x:c>
      <x:c r="I285" s="36" t="n">
        <x:f>H285/1000</x:f>
        <x:v>3.565301</x:v>
      </x:c>
      <x:c r="J285" s="21" t="str">
        <x:v>data2/dsv4_2_recipe_ds.jsonl</x:v>
      </x:c>
      <x:c r="K285" s="21" t="n">
        <x:v>73</x:v>
      </x:c>
      <x:c r="L285" s="21" t="str">
        <x:v>processed精确文本</x:v>
      </x:c>
    </x:row>
    <x:row r="286">
      <x:c r="A286" s="38" t="n">
        <x:v>33</x:v>
      </x:c>
      <x:c r="B286" s="23" t="str">
        <x:v>找出深圳奥特莱斯D-HRH和深圳梅沙湾二D-HRH这两个站点下5G小区的站点名称、经度和纬度。</x:v>
      </x:c>
      <x:c r="C286" s="23" t="str">
        <x:v>查询深圳奥特莱斯D-HRH和深圳梅沙湾二D-HRH这两个站点下5G小区的站点名称、经度和纬度</x:v>
      </x:c>
      <x:c r="D286" s="23" t="str">
        <x:v>Recipe - Qwen执行</x:v>
      </x:c>
      <x:c r="E286" s="23" t="str">
        <x:v>同一问题第1次Qwen调用</x:v>
      </x:c>
      <x:c r="F286" s="21" t="n">
        <x:v>1</x:v>
      </x:c>
      <x:c r="G286" s="21" t="str">
        <x:v>2026-08-12T10:21:54.100</x:v>
      </x:c>
      <x:c r="H286" s="36" t="n">
        <x:v>1361.507</x:v>
      </x:c>
      <x:c r="I286" s="36" t="n">
        <x:f>H286/1000</x:f>
        <x:v>1.361507</x:v>
      </x:c>
      <x:c r="J286" s="21" t="str">
        <x:v>data2/qwen3_2.jsonl</x:v>
      </x:c>
      <x:c r="K286" s="21" t="n">
        <x:v>83</x:v>
      </x:c>
      <x:c r="L286" s="21" t="str">
        <x:v>processed精确文本</x:v>
      </x:c>
    </x:row>
    <x:row r="287">
      <x:c r="A287" s="38" t="n">
        <x:v>33</x:v>
      </x:c>
      <x:c r="B287" s="23" t="str">
        <x:v>找出深圳奥特莱斯D-HRH和深圳梅沙湾二D-HRH这两个站点下5G小区的站点名称、经度和纬度。</x:v>
      </x:c>
      <x:c r="C287" s="23" t="str">
        <x:v>查询深圳奥特莱斯D-HRH和深圳梅沙湾二D-HRH这两个站点下5G小区的站点名称、经度和纬度</x:v>
      </x:c>
      <x:c r="D287" s="23" t="str">
        <x:v>Recipe - Qwen总结</x:v>
      </x:c>
      <x:c r="E287" s="23" t="str">
        <x:v>同一问题最后一次Qwen调用</x:v>
      </x:c>
      <x:c r="F287" s="21" t="n">
        <x:v>1</x:v>
      </x:c>
      <x:c r="G287" s="21" t="str">
        <x:v>2026-08-12T10:21:55.960</x:v>
      </x:c>
      <x:c r="H287" s="36" t="n">
        <x:v>2756.552</x:v>
      </x:c>
      <x:c r="I287" s="36" t="n">
        <x:f>H287/1000</x:f>
        <x:v>2.756552</x:v>
      </x:c>
      <x:c r="J287" s="21" t="str">
        <x:v>data2/qwen3_2.jsonl</x:v>
      </x:c>
      <x:c r="K287" s="21" t="n">
        <x:v>84</x:v>
      </x:c>
      <x:c r="L287" s="21" t="str">
        <x:v>processed精确文本</x:v>
      </x:c>
    </x:row>
    <x:row r="288">
      <x:c r="A288" s="38" t="n">
        <x:v>33</x:v>
      </x:c>
      <x:c r="B288" s="23" t="str">
        <x:v>找出深圳奥特莱斯D-HRH和深圳梅沙湾二D-HRH这两个站点下5G小区的站点名称、经度和纬度。</x:v>
      </x:c>
      <x:c r="C288" s="23" t="str">
        <x:v>查询深圳奥特莱斯D-HRH和深圳梅沙湾二D-HRH这两个站点下5G小区的站点名称、经度和纬度</x:v>
      </x:c>
      <x:c r="D288" s="23" t="str">
        <x:v>AICO总结</x:v>
      </x:c>
      <x:c r="E288" s="23" t="str">
        <x:v>无tool_calls</x:v>
      </x:c>
      <x:c r="F288" s="21" t="n">
        <x:v>1</x:v>
      </x:c>
      <x:c r="G288" s="21" t="str">
        <x:v>2026-08-12T10:21:58.985</x:v>
      </x:c>
      <x:c r="H288" s="36" t="n">
        <x:v>7183.675</x:v>
      </x:c>
      <x:c r="I288" s="36" t="n">
        <x:f>H288/1000</x:f>
        <x:v>7.183675</x:v>
      </x:c>
      <x:c r="J288" s="21" t="str">
        <x:v>data2/dsv4_2_aico.jsonl</x:v>
      </x:c>
      <x:c r="K288" s="21" t="n">
        <x:v>130</x:v>
      </x:c>
      <x:c r="L288" s="21" t="str">
        <x:v>original精确文本</x:v>
      </x:c>
    </x:row>
    <x:row r="289">
      <x:c r="A289" s="38" t="n">
        <x:v>33</x:v>
      </x:c>
      <x:c r="B289" s="23" t="str">
        <x:v>找出深圳奥特莱斯D-HRH和深圳梅沙湾二D-HRH这两个站点下5G小区的站点名称、经度和纬度。</x:v>
      </x:c>
      <x:c r="C289" s="23" t="str">
        <x:v>查询深圳奥特莱斯D-HRH和深圳梅沙湾二D-HRH这两个站点下5G小区的站点名称、经度和纬度</x:v>
      </x:c>
      <x:c r="D289" s="23" t="str">
        <x:v>问题推荐</x:v>
      </x:c>
      <x:c r="E289" s="23" t="str">
        <x:v>后续问题推荐</x:v>
      </x:c>
      <x:c r="F289" s="21" t="n">
        <x:v>1</x:v>
      </x:c>
      <x:c r="G289" s="21" t="str">
        <x:v>2026-08-12T10:22:06.448</x:v>
      </x:c>
      <x:c r="H289" s="36" t="n">
        <x:v>10991.258</x:v>
      </x:c>
      <x:c r="I289" s="36" t="n">
        <x:f>H289/1000</x:f>
        <x:v>10.991258</x:v>
      </x:c>
      <x:c r="J289" s="21" t="str">
        <x:v>data2/dsv4_2_recipe_ds.jsonl</x:v>
      </x:c>
      <x:c r="K289" s="21" t="n">
        <x:v>74</x:v>
      </x:c>
      <x:c r="L289" s="21" t="str">
        <x:v>original精确文本</x:v>
      </x:c>
    </x:row>
    <x:row r="290">
      <x:c r="A290" s="38" t="n">
        <x:v>34</x:v>
      </x:c>
      <x:c r="B290" s="23" t="str">
        <x:v>确认一下CBN-福州仓山-福州火车南站C-HRHH-521这个5G小区的小区标识和移动网号。</x:v>
      </x:c>
      <x:c r="C290" s="23" t="str">
        <x:v>查询5G小区 CBN-福州仓山-福州火车南站C-HRHH-521 的小区标识（Cell ID/ECI）和移动网号（MCC/MNC/PLMN）</x:v>
      </x:c>
      <x:c r="D290" s="23" t="str">
        <x:v>AICO Tool Call - Skill</x:v>
      </x:c>
      <x:c r="E290" s="23" t="str">
        <x:v>Skill</x:v>
      </x:c>
      <x:c r="F290" s="21" t="n">
        <x:v>1</x:v>
      </x:c>
      <x:c r="G290" s="21" t="str">
        <x:v>2026-08-12T10:22:07.388</x:v>
      </x:c>
      <x:c r="H290" s="36" t="n">
        <x:v>10916.563</x:v>
      </x:c>
      <x:c r="I290" s="36" t="n">
        <x:f>H290/1000</x:f>
        <x:v>10.916563</x:v>
      </x:c>
      <x:c r="J290" s="21" t="str">
        <x:v>data2/dsv4_2_aico.jsonl</x:v>
      </x:c>
      <x:c r="K290" s="21" t="n">
        <x:v>131</x:v>
      </x:c>
      <x:c r="L290" s="21" t="str">
        <x:v>original精确文本</x:v>
      </x:c>
    </x:row>
    <x:row r="291">
      <x:c r="A291" s="38" t="n">
        <x:v>34</x:v>
      </x:c>
      <x:c r="B291" s="23" t="str">
        <x:v>确认一下CBN-福州仓山-福州火车南站C-HRHH-521这个5G小区的小区标识和移动网号。</x:v>
      </x:c>
      <x:c r="C291" s="23" t="str">
        <x:v>查询5G小区 CBN-福州仓山-福州火车南站C-HRHH-521 的小区标识（Cell ID/ECI）和移动网号（MCC/MNC/PLMN）</x:v>
      </x:c>
      <x:c r="D291" s="23" t="str">
        <x:v>AICO Tool Call - Workflow</x:v>
      </x:c>
      <x:c r="E291" s="23" t="str">
        <x:v>Workflow</x:v>
      </x:c>
      <x:c r="F291" s="21" t="n">
        <x:v>1</x:v>
      </x:c>
      <x:c r="G291" s="21" t="str">
        <x:v>2026-08-12T10:22:18.472</x:v>
      </x:c>
      <x:c r="H291" s="36" t="n">
        <x:v>5407.155</x:v>
      </x:c>
      <x:c r="I291" s="36" t="n">
        <x:f>H291/1000</x:f>
        <x:v>5.4071549999999995</x:v>
      </x:c>
      <x:c r="J291" s="21" t="str">
        <x:v>data2/dsv4_2_aico.jsonl</x:v>
      </x:c>
      <x:c r="K291" s="21" t="n">
        <x:v>132</x:v>
      </x:c>
      <x:c r="L291" s="21" t="str">
        <x:v>original精确文本</x:v>
      </x:c>
    </x:row>
    <x:row r="292">
      <x:c r="A292" s="38" t="n">
        <x:v>34</x:v>
      </x:c>
      <x:c r="B292" s="23" t="str">
        <x:v>确认一下CBN-福州仓山-福州火车南站C-HRHH-521这个5G小区的小区标识和移动网号。</x:v>
      </x:c>
      <x:c r="C292" s="23" t="str">
        <x:v>查询5G小区 CBN-福州仓山-福州火车南站C-HRHH-521 的小区标识（Cell ID/ECI）和移动网号（MCC/MNC/PLMN）</x:v>
      </x:c>
      <x:c r="D292" s="23" t="str">
        <x:v>Recipe - DeepSeek</x:v>
      </x:c>
      <x:c r="E292" s="23" t="str">
        <x:v>DeepSeek recipe调用</x:v>
      </x:c>
      <x:c r="F292" s="21" t="n">
        <x:v>1</x:v>
      </x:c>
      <x:c r="G292" s="21" t="str">
        <x:v>2026-08-12T10:22:25.219</x:v>
      </x:c>
      <x:c r="H292" s="36" t="n">
        <x:v>3676.213</x:v>
      </x:c>
      <x:c r="I292" s="36" t="n">
        <x:f>H292/1000</x:f>
        <x:v>3.676213</x:v>
      </x:c>
      <x:c r="J292" s="21" t="str">
        <x:v>data2/dsv4_2_recipe_ds.jsonl</x:v>
      </x:c>
      <x:c r="K292" s="21" t="n">
        <x:v>75</x:v>
      </x:c>
      <x:c r="L292" s="21" t="str">
        <x:v>processed精确文本</x:v>
      </x:c>
    </x:row>
    <x:row r="293">
      <x:c r="A293" s="38" t="n">
        <x:v>34</x:v>
      </x:c>
      <x:c r="B293" s="23" t="str">
        <x:v>确认一下CBN-福州仓山-福州火车南站C-HRHH-521这个5G小区的小区标识和移动网号。</x:v>
      </x:c>
      <x:c r="C293" s="23" t="str">
        <x:v>查询5G小区 CBN-福州仓山-福州火车南站C-HRHH-521 的小区标识（Cell ID/ECI）和移动网号（MCC/MNC/PLMN）</x:v>
      </x:c>
      <x:c r="D293" s="23" t="str">
        <x:v>Recipe - Qwen执行</x:v>
      </x:c>
      <x:c r="E293" s="23" t="str">
        <x:v>同一问题第1次Qwen调用</x:v>
      </x:c>
      <x:c r="F293" s="21" t="n">
        <x:v>1</x:v>
      </x:c>
      <x:c r="G293" s="21" t="str">
        <x:v>2026-08-12T10:22:29.214</x:v>
      </x:c>
      <x:c r="H293" s="36" t="n">
        <x:v>1338.427</x:v>
      </x:c>
      <x:c r="I293" s="36" t="n">
        <x:f>H293/1000</x:f>
        <x:v>1.3384269999999998</x:v>
      </x:c>
      <x:c r="J293" s="21" t="str">
        <x:v>data2/qwen3_2.jsonl</x:v>
      </x:c>
      <x:c r="K293" s="21" t="n">
        <x:v>85</x:v>
      </x:c>
      <x:c r="L293" s="21" t="str">
        <x:v>processed精确文本</x:v>
      </x:c>
    </x:row>
    <x:row r="294">
      <x:c r="A294" s="38" t="n">
        <x:v>34</x:v>
      </x:c>
      <x:c r="B294" s="23" t="str">
        <x:v>确认一下CBN-福州仓山-福州火车南站C-HRHH-521这个5G小区的小区标识和移动网号。</x:v>
      </x:c>
      <x:c r="C294" s="23" t="str">
        <x:v>查询5G小区 CBN-福州仓山-福州火车南站C-HRHH-521 的小区标识（Cell ID/ECI）和移动网号（MCC/MNC/PLMN）</x:v>
      </x:c>
      <x:c r="D294" s="23" t="str">
        <x:v>Recipe - Qwen总结</x:v>
      </x:c>
      <x:c r="E294" s="23" t="str">
        <x:v>同一问题最后一次Qwen调用</x:v>
      </x:c>
      <x:c r="F294" s="21" t="n">
        <x:v>1</x:v>
      </x:c>
      <x:c r="G294" s="21" t="str">
        <x:v>2026-08-12T10:22:31.081</x:v>
      </x:c>
      <x:c r="H294" s="36" t="n">
        <x:v>1611.097</x:v>
      </x:c>
      <x:c r="I294" s="36" t="n">
        <x:f>H294/1000</x:f>
        <x:v>1.611097</x:v>
      </x:c>
      <x:c r="J294" s="21" t="str">
        <x:v>data2/qwen3_2.jsonl</x:v>
      </x:c>
      <x:c r="K294" s="21" t="n">
        <x:v>86</x:v>
      </x:c>
      <x:c r="L294" s="21" t="str">
        <x:v>processed精确文本</x:v>
      </x:c>
    </x:row>
    <x:row r="295">
      <x:c r="A295" s="38" t="n">
        <x:v>34</x:v>
      </x:c>
      <x:c r="B295" s="23" t="str">
        <x:v>确认一下CBN-福州仓山-福州火车南站C-HRHH-521这个5G小区的小区标识和移动网号。</x:v>
      </x:c>
      <x:c r="C295" s="23" t="str">
        <x:v>查询5G小区 CBN-福州仓山-福州火车南站C-HRHH-521 的小区标识（Cell ID/ECI）和移动网号（MCC/MNC/PLMN）</x:v>
      </x:c>
      <x:c r="D295" s="23" t="str">
        <x:v>AICO总结</x:v>
      </x:c>
      <x:c r="E295" s="23" t="str">
        <x:v>无tool_calls</x:v>
      </x:c>
      <x:c r="F295" s="21" t="n">
        <x:v>1</x:v>
      </x:c>
      <x:c r="G295" s="21" t="str">
        <x:v>2026-08-12T10:22:32.949</x:v>
      </x:c>
      <x:c r="H295" s="36" t="n">
        <x:v>7982.426</x:v>
      </x:c>
      <x:c r="I295" s="36" t="n">
        <x:f>H295/1000</x:f>
        <x:v>7.982426</x:v>
      </x:c>
      <x:c r="J295" s="21" t="str">
        <x:v>data2/dsv4_2_aico.jsonl</x:v>
      </x:c>
      <x:c r="K295" s="21" t="n">
        <x:v>133</x:v>
      </x:c>
      <x:c r="L295" s="21" t="str">
        <x:v>original精确文本</x:v>
      </x:c>
    </x:row>
    <x:row r="296">
      <x:c r="A296" s="38" t="n">
        <x:v>34</x:v>
      </x:c>
      <x:c r="B296" s="23" t="str">
        <x:v>确认一下CBN-福州仓山-福州火车南站C-HRHH-521这个5G小区的小区标识和移动网号。</x:v>
      </x:c>
      <x:c r="C296" s="23" t="str">
        <x:v>查询5G小区 CBN-福州仓山-福州火车南站C-HRHH-521 的小区标识（Cell ID/ECI）和移动网号（MCC/MNC/PLMN）</x:v>
      </x:c>
      <x:c r="D296" s="23" t="str">
        <x:v>问题推荐</x:v>
      </x:c>
      <x:c r="E296" s="23" t="str">
        <x:v>后续问题推荐</x:v>
      </x:c>
      <x:c r="F296" s="21" t="n">
        <x:v>1</x:v>
      </x:c>
      <x:c r="G296" s="21" t="str">
        <x:v>2026-08-12T10:22:41.205</x:v>
      </x:c>
      <x:c r="H296" s="36" t="n">
        <x:v>7582.597</x:v>
      </x:c>
      <x:c r="I296" s="36" t="n">
        <x:f>H296/1000</x:f>
        <x:v>7.582597</x:v>
      </x:c>
      <x:c r="J296" s="21" t="str">
        <x:v>data2/dsv4_2_recipe_ds.jsonl</x:v>
      </x:c>
      <x:c r="K296" s="21" t="n">
        <x:v>76</x:v>
      </x:c>
      <x:c r="L296" s="21" t="str">
        <x:v>original精确文本</x:v>
      </x:c>
    </x:row>
    <x:row r="297">
      <x:c r="A297" s="38" t="n">
        <x:v>35</x:v>
      </x:c>
      <x:c r="B297" s="23" t="str">
        <x:v>帮我查CBN-深圳上威梅沙二U-H5H-0711和CBN-深圳东华风车U-H5H-0711这两个NR小区的方向角和天线高度。</x:v>
      </x:c>
      <x:c r="C297" s="23" t="str">
        <x:v>查询NR小区CBN-深圳上威梅沙二U-H5H-0711和CBN-深圳东华风车U-H5H-0711的方向角和天线高度（天线挂高）</x:v>
      </x:c>
      <x:c r="D297" s="23" t="str">
        <x:v>AICO Tool Call - Skill</x:v>
      </x:c>
      <x:c r="E297" s="23" t="str">
        <x:v>Skill</x:v>
      </x:c>
      <x:c r="F297" s="21" t="n">
        <x:v>1</x:v>
      </x:c>
      <x:c r="G297" s="21" t="str">
        <x:v>2026-08-12T10:22:42.113</x:v>
      </x:c>
      <x:c r="H297" s="36" t="n">
        <x:v>8348.185</x:v>
      </x:c>
      <x:c r="I297" s="36" t="n">
        <x:f>H297/1000</x:f>
        <x:v>8.348184999999999</x:v>
      </x:c>
      <x:c r="J297" s="21" t="str">
        <x:v>data2/dsv4_2_aico.jsonl</x:v>
      </x:c>
      <x:c r="K297" s="21" t="n">
        <x:v>134</x:v>
      </x:c>
      <x:c r="L297" s="21" t="str">
        <x:v>original精确文本</x:v>
      </x:c>
    </x:row>
    <x:row r="298">
      <x:c r="A298" s="38" t="n">
        <x:v>35</x:v>
      </x:c>
      <x:c r="B298" s="23" t="str">
        <x:v>帮我查CBN-深圳上威梅沙二U-H5H-0711和CBN-深圳东华风车U-H5H-0711这两个NR小区的方向角和天线高度。</x:v>
      </x:c>
      <x:c r="C298" s="23" t="str">
        <x:v>查询NR小区CBN-深圳上威梅沙二U-H5H-0711和CBN-深圳东华风车U-H5H-0711的方向角和天线高度（天线挂高）</x:v>
      </x:c>
      <x:c r="D298" s="23" t="str">
        <x:v>AICO Tool Call - Workflow</x:v>
      </x:c>
      <x:c r="E298" s="23" t="str">
        <x:v>Workflow</x:v>
      </x:c>
      <x:c r="F298" s="21" t="n">
        <x:v>1</x:v>
      </x:c>
      <x:c r="G298" s="21" t="str">
        <x:v>2026-08-12T10:22:50.618</x:v>
      </x:c>
      <x:c r="H298" s="36" t="n">
        <x:v>5344.458</x:v>
      </x:c>
      <x:c r="I298" s="36" t="n">
        <x:f>H298/1000</x:f>
        <x:v>5.3444579999999995</x:v>
      </x:c>
      <x:c r="J298" s="21" t="str">
        <x:v>data2/dsv4_2_aico.jsonl</x:v>
      </x:c>
      <x:c r="K298" s="21" t="n">
        <x:v>135</x:v>
      </x:c>
      <x:c r="L298" s="21" t="str">
        <x:v>original精确文本</x:v>
      </x:c>
    </x:row>
    <x:row r="299">
      <x:c r="A299" s="38" t="n">
        <x:v>35</x:v>
      </x:c>
      <x:c r="B299" s="23" t="str">
        <x:v>帮我查CBN-深圳上威梅沙二U-H5H-0711和CBN-深圳东华风车U-H5H-0711这两个NR小区的方向角和天线高度。</x:v>
      </x:c>
      <x:c r="C299" s="23" t="str">
        <x:v>查询NR小区CBN-深圳上威梅沙二U-H5H-0711和CBN-深圳东华风车U-H5H-0711的方向角和天线高度（天线挂高）</x:v>
      </x:c>
      <x:c r="D299" s="23" t="str">
        <x:v>Recipe - DeepSeek</x:v>
      </x:c>
      <x:c r="E299" s="23" t="str">
        <x:v>DeepSeek recipe调用</x:v>
      </x:c>
      <x:c r="F299" s="21" t="n">
        <x:v>1</x:v>
      </x:c>
      <x:c r="G299" s="21" t="str">
        <x:v>2026-08-12T10:22:57.425</x:v>
      </x:c>
      <x:c r="H299" s="36" t="n">
        <x:v>6476.397</x:v>
      </x:c>
      <x:c r="I299" s="36" t="n">
        <x:f>H299/1000</x:f>
        <x:v>6.4763969999999995</x:v>
      </x:c>
      <x:c r="J299" s="21" t="str">
        <x:v>data2/dsv4_2_recipe_ds.jsonl</x:v>
      </x:c>
      <x:c r="K299" s="21" t="n">
        <x:v>77</x:v>
      </x:c>
      <x:c r="L299" s="21" t="str">
        <x:v>processed精确文本</x:v>
      </x:c>
    </x:row>
    <x:row r="300">
      <x:c r="A300" s="38" t="n">
        <x:v>35</x:v>
      </x:c>
      <x:c r="B300" s="23" t="str">
        <x:v>帮我查CBN-深圳上威梅沙二U-H5H-0711和CBN-深圳东华风车U-H5H-0711这两个NR小区的方向角和天线高度。</x:v>
      </x:c>
      <x:c r="C300" s="23" t="str">
        <x:v>查询NR小区CBN-深圳上威梅沙二U-H5H-0711和CBN-深圳东华风车U-H5H-0711的方向角和天线高度（天线挂高）</x:v>
      </x:c>
      <x:c r="D300" s="23" t="str">
        <x:v>Recipe - Qwen执行</x:v>
      </x:c>
      <x:c r="E300" s="23" t="str">
        <x:v>同一问题第1次Qwen调用</x:v>
      </x:c>
      <x:c r="F300" s="21" t="n">
        <x:v>1</x:v>
      </x:c>
      <x:c r="G300" s="21" t="str">
        <x:v>2026-08-12T10:23:04.230</x:v>
      </x:c>
      <x:c r="H300" s="36" t="n">
        <x:v>1692.066</x:v>
      </x:c>
      <x:c r="I300" s="36" t="n">
        <x:f>H300/1000</x:f>
        <x:v>1.692066</x:v>
      </x:c>
      <x:c r="J300" s="21" t="str">
        <x:v>data2/qwen3_2.jsonl</x:v>
      </x:c>
      <x:c r="K300" s="21" t="n">
        <x:v>87</x:v>
      </x:c>
      <x:c r="L300" s="21" t="str">
        <x:v>processed精确文本</x:v>
      </x:c>
    </x:row>
    <x:row r="301">
      <x:c r="A301" s="38" t="n">
        <x:v>35</x:v>
      </x:c>
      <x:c r="B301" s="23" t="str">
        <x:v>帮我查CBN-深圳上威梅沙二U-H5H-0711和CBN-深圳东华风车U-H5H-0711这两个NR小区的方向角和天线高度。</x:v>
      </x:c>
      <x:c r="C301" s="23" t="str">
        <x:v>查询NR小区CBN-深圳上威梅沙二U-H5H-0711和CBN-深圳东华风车U-H5H-0711的方向角和天线高度（天线挂高）</x:v>
      </x:c>
      <x:c r="D301" s="23" t="str">
        <x:v>Recipe - Qwen总结</x:v>
      </x:c>
      <x:c r="E301" s="23" t="str">
        <x:v>同一问题最后一次Qwen调用</x:v>
      </x:c>
      <x:c r="F301" s="21" t="n">
        <x:v>1</x:v>
      </x:c>
      <x:c r="G301" s="21" t="str">
        <x:v>2026-08-12T10:23:06.499</x:v>
      </x:c>
      <x:c r="H301" s="36" t="n">
        <x:v>1919.201</x:v>
      </x:c>
      <x:c r="I301" s="36" t="n">
        <x:f>H301/1000</x:f>
        <x:v>1.919201</x:v>
      </x:c>
      <x:c r="J301" s="21" t="str">
        <x:v>data2/qwen3_2.jsonl</x:v>
      </x:c>
      <x:c r="K301" s="21" t="n">
        <x:v>88</x:v>
      </x:c>
      <x:c r="L301" s="21" t="str">
        <x:v>processed精确文本</x:v>
      </x:c>
    </x:row>
    <x:row r="302">
      <x:c r="A302" s="38" t="n">
        <x:v>35</x:v>
      </x:c>
      <x:c r="B302" s="23" t="str">
        <x:v>帮我查CBN-深圳上威梅沙二U-H5H-0711和CBN-深圳东华风车U-H5H-0711这两个NR小区的方向角和天线高度。</x:v>
      </x:c>
      <x:c r="C302" s="23" t="str">
        <x:v>查询NR小区CBN-深圳上威梅沙二U-H5H-0711和CBN-深圳东华风车U-H5H-0711的方向角和天线高度（天线挂高）</x:v>
      </x:c>
      <x:c r="D302" s="23" t="str">
        <x:v>AICO总结</x:v>
      </x:c>
      <x:c r="E302" s="23" t="str">
        <x:v>无tool_calls</x:v>
      </x:c>
      <x:c r="F302" s="21" t="n">
        <x:v>1</x:v>
      </x:c>
      <x:c r="G302" s="21" t="str">
        <x:v>2026-08-12T10:23:08.705</x:v>
      </x:c>
      <x:c r="H302" s="36" t="n">
        <x:v>8136.535</x:v>
      </x:c>
      <x:c r="I302" s="36" t="n">
        <x:f>H302/1000</x:f>
        <x:v>8.136535</x:v>
      </x:c>
      <x:c r="J302" s="21" t="str">
        <x:v>data2/dsv4_2_aico.jsonl</x:v>
      </x:c>
      <x:c r="K302" s="21" t="n">
        <x:v>136</x:v>
      </x:c>
      <x:c r="L302" s="21" t="str">
        <x:v>original精确文本</x:v>
      </x:c>
    </x:row>
    <x:row r="303">
      <x:c r="A303" s="38" t="n">
        <x:v>35</x:v>
      </x:c>
      <x:c r="B303" s="23" t="str">
        <x:v>帮我查CBN-深圳上威梅沙二U-H5H-0711和CBN-深圳东华风车U-H5H-0711这两个NR小区的方向角和天线高度。</x:v>
      </x:c>
      <x:c r="C303" s="23" t="str">
        <x:v>查询NR小区CBN-深圳上威梅沙二U-H5H-0711和CBN-深圳东华风车U-H5H-0711的方向角和天线高度（天线挂高）</x:v>
      </x:c>
      <x:c r="D303" s="23" t="str">
        <x:v>问题推荐</x:v>
      </x:c>
      <x:c r="E303" s="23" t="str">
        <x:v>后续问题推荐</x:v>
      </x:c>
      <x:c r="F303" s="21" t="n">
        <x:v>1</x:v>
      </x:c>
      <x:c r="G303" s="21" t="str">
        <x:v>2026-08-12T10:23:17.127</x:v>
      </x:c>
      <x:c r="H303" s="36" t="n">
        <x:v>5229.238</x:v>
      </x:c>
      <x:c r="I303" s="36" t="n">
        <x:f>H303/1000</x:f>
        <x:v>5.2292380000000005</x:v>
      </x:c>
      <x:c r="J303" s="21" t="str">
        <x:v>data2/dsv4_2_recipe_ds.jsonl</x:v>
      </x:c>
      <x:c r="K303" s="21" t="n">
        <x:v>78</x:v>
      </x:c>
      <x:c r="L303" s="21" t="str">
        <x:v>original精确文本</x:v>
      </x:c>
    </x:row>
    <x:row r="304">
      <x:c r="A304" s="38" t="n">
        <x:v>36</x:v>
      </x:c>
      <x:c r="B304" s="23" t="str">
        <x:v>帮我查一下深圳大梅沙海滨公园D-HRW站点下，天线高度超过30米的小区，返回小区名称、天线高度和方位角。</x:v>
      </x:c>
      <x:c r="C304" s="23" t="str">
        <x:v>查询深圳大梅沙海滨公园D-HRW站点下，天线高度超过30米的小区，返回小区名称、天线高度和方位角</x:v>
      </x:c>
      <x:c r="D304" s="23" t="str">
        <x:v>AICO Tool Call - Skill</x:v>
      </x:c>
      <x:c r="E304" s="23" t="str">
        <x:v>Skill</x:v>
      </x:c>
      <x:c r="F304" s="21" t="n">
        <x:v>1</x:v>
      </x:c>
      <x:c r="G304" s="21" t="str">
        <x:v>2026-08-12T10:23:18.051</x:v>
      </x:c>
      <x:c r="H304" s="36" t="n">
        <x:v>5445.73</x:v>
      </x:c>
      <x:c r="I304" s="36" t="n">
        <x:f>H304/1000</x:f>
        <x:v>5.445729999999999</x:v>
      </x:c>
      <x:c r="J304" s="21" t="str">
        <x:v>data2/dsv4_2_aico.jsonl</x:v>
      </x:c>
      <x:c r="K304" s="21" t="n">
        <x:v>137</x:v>
      </x:c>
      <x:c r="L304" s="21" t="str">
        <x:v>original精确文本</x:v>
      </x:c>
    </x:row>
    <x:row r="305">
      <x:c r="A305" s="38" t="n">
        <x:v>36</x:v>
      </x:c>
      <x:c r="B305" s="23" t="str">
        <x:v>帮我查一下深圳大梅沙海滨公园D-HRW站点下，天线高度超过30米的小区，返回小区名称、天线高度和方位角。</x:v>
      </x:c>
      <x:c r="C305" s="23" t="str">
        <x:v>查询深圳大梅沙海滨公园D-HRW站点下，天线高度超过30米的小区，返回小区名称、天线高度和方位角</x:v>
      </x:c>
      <x:c r="D305" s="23" t="str">
        <x:v>AICO Tool Call - Workflow</x:v>
      </x:c>
      <x:c r="E305" s="23" t="str">
        <x:v>Workflow</x:v>
      </x:c>
      <x:c r="F305" s="21" t="n">
        <x:v>1</x:v>
      </x:c>
      <x:c r="G305" s="21" t="str">
        <x:v>2026-08-12T10:23:23.663</x:v>
      </x:c>
      <x:c r="H305" s="36" t="n">
        <x:v>7872.576</x:v>
      </x:c>
      <x:c r="I305" s="36" t="n">
        <x:f>H305/1000</x:f>
        <x:v>7.8725760000000005</x:v>
      </x:c>
      <x:c r="J305" s="21" t="str">
        <x:v>data2/dsv4_2_aico.jsonl</x:v>
      </x:c>
      <x:c r="K305" s="21" t="n">
        <x:v>138</x:v>
      </x:c>
      <x:c r="L305" s="21" t="str">
        <x:v>original精确文本</x:v>
      </x:c>
    </x:row>
    <x:row r="306">
      <x:c r="A306" s="38" t="n">
        <x:v>36</x:v>
      </x:c>
      <x:c r="B306" s="23" t="str">
        <x:v>帮我查一下深圳大梅沙海滨公园D-HRW站点下，天线高度超过30米的小区，返回小区名称、天线高度和方位角。</x:v>
      </x:c>
      <x:c r="C306" s="23" t="str">
        <x:v>查询深圳大梅沙海滨公园D-HRW站点下，天线高度超过30米的小区，返回小区名称、天线高度和方位角</x:v>
      </x:c>
      <x:c r="D306" s="23" t="str">
        <x:v>Recipe - DeepSeek</x:v>
      </x:c>
      <x:c r="E306" s="23" t="str">
        <x:v>DeepSeek recipe调用</x:v>
      </x:c>
      <x:c r="F306" s="21" t="n">
        <x:v>1</x:v>
      </x:c>
      <x:c r="G306" s="21" t="str">
        <x:v>2026-08-12T10:23:32.914</x:v>
      </x:c>
      <x:c r="H306" s="36" t="n">
        <x:v>3710.386</x:v>
      </x:c>
      <x:c r="I306" s="36" t="n">
        <x:f>H306/1000</x:f>
        <x:v>3.710386</x:v>
      </x:c>
      <x:c r="J306" s="21" t="str">
        <x:v>data2/dsv4_2_recipe_ds.jsonl</x:v>
      </x:c>
      <x:c r="K306" s="21" t="n">
        <x:v>79</x:v>
      </x:c>
      <x:c r="L306" s="21" t="str">
        <x:v>processed精确文本</x:v>
      </x:c>
    </x:row>
    <x:row r="307">
      <x:c r="A307" s="38" t="n">
        <x:v>36</x:v>
      </x:c>
      <x:c r="B307" s="23" t="str">
        <x:v>帮我查一下深圳大梅沙海滨公园D-HRW站点下，天线高度超过30米的小区，返回小区名称、天线高度和方位角。</x:v>
      </x:c>
      <x:c r="C307" s="23" t="str">
        <x:v>查询深圳大梅沙海滨公园D-HRW站点下，天线高度超过30米的小区，返回小区名称、天线高度和方位角</x:v>
      </x:c>
      <x:c r="D307" s="23" t="str">
        <x:v>Recipe - Qwen执行</x:v>
      </x:c>
      <x:c r="E307" s="23" t="str">
        <x:v>同一问题第1次Qwen调用</x:v>
      </x:c>
      <x:c r="F307" s="21" t="n">
        <x:v>1</x:v>
      </x:c>
      <x:c r="G307" s="21" t="str">
        <x:v>2026-08-12T10:23:36.973</x:v>
      </x:c>
      <x:c r="H307" s="36" t="n">
        <x:v>1205.075</x:v>
      </x:c>
      <x:c r="I307" s="36" t="n">
        <x:f>H307/1000</x:f>
        <x:v>1.2050750000000001</x:v>
      </x:c>
      <x:c r="J307" s="21" t="str">
        <x:v>data2/qwen3_2.jsonl</x:v>
      </x:c>
      <x:c r="K307" s="21" t="n">
        <x:v>89</x:v>
      </x:c>
      <x:c r="L307" s="21" t="str">
        <x:v>processed精确文本</x:v>
      </x:c>
    </x:row>
    <x:row r="308">
      <x:c r="A308" s="38" t="n">
        <x:v>36</x:v>
      </x:c>
      <x:c r="B308" s="23" t="str">
        <x:v>帮我查一下深圳大梅沙海滨公园D-HRW站点下，天线高度超过30米的小区，返回小区名称、天线高度和方位角。</x:v>
      </x:c>
      <x:c r="C308" s="23" t="str">
        <x:v>查询深圳大梅沙海滨公园D-HRW站点下，天线高度超过30米的小区，返回小区名称、天线高度和方位角</x:v>
      </x:c>
      <x:c r="D308" s="23" t="str">
        <x:v>Recipe - Qwen总结</x:v>
      </x:c>
      <x:c r="E308" s="23" t="str">
        <x:v>同一问题最后一次Qwen调用</x:v>
      </x:c>
      <x:c r="F308" s="21" t="n">
        <x:v>1</x:v>
      </x:c>
      <x:c r="G308" s="21" t="str">
        <x:v>2026-08-12T10:23:38.705</x:v>
      </x:c>
      <x:c r="H308" s="36" t="n">
        <x:v>2310.539</x:v>
      </x:c>
      <x:c r="I308" s="36" t="n">
        <x:f>H308/1000</x:f>
        <x:v>2.3105390000000003</x:v>
      </x:c>
      <x:c r="J308" s="21" t="str">
        <x:v>data2/qwen3_2.jsonl</x:v>
      </x:c>
      <x:c r="K308" s="21" t="n">
        <x:v>90</x:v>
      </x:c>
      <x:c r="L308" s="21" t="str">
        <x:v>processed精确文本</x:v>
      </x:c>
    </x:row>
    <x:row r="309">
      <x:c r="A309" s="38" t="n">
        <x:v>36</x:v>
      </x:c>
      <x:c r="B309" s="23" t="str">
        <x:v>帮我查一下深圳大梅沙海滨公园D-HRW站点下，天线高度超过30米的小区，返回小区名称、天线高度和方位角。</x:v>
      </x:c>
      <x:c r="C309" s="23" t="str">
        <x:v>查询深圳大梅沙海滨公园D-HRW站点下，天线高度超过30米的小区，返回小区名称、天线高度和方位角</x:v>
      </x:c>
      <x:c r="D309" s="23" t="str">
        <x:v>AICO总结</x:v>
      </x:c>
      <x:c r="E309" s="23" t="str">
        <x:v>无tool_calls</x:v>
      </x:c>
      <x:c r="F309" s="21" t="n">
        <x:v>1</x:v>
      </x:c>
      <x:c r="G309" s="21" t="str">
        <x:v>2026-08-12T10:23:41.285</x:v>
      </x:c>
      <x:c r="H309" s="36" t="n">
        <x:v>8066.049</x:v>
      </x:c>
      <x:c r="I309" s="36" t="n">
        <x:f>H309/1000</x:f>
        <x:v>8.066049</x:v>
      </x:c>
      <x:c r="J309" s="21" t="str">
        <x:v>data2/dsv4_2_aico.jsonl</x:v>
      </x:c>
      <x:c r="K309" s="21" t="n">
        <x:v>139</x:v>
      </x:c>
      <x:c r="L309" s="21" t="str">
        <x:v>original精确文本</x:v>
      </x:c>
    </x:row>
    <x:row r="310">
      <x:c r="A310" s="38" t="n">
        <x:v>36</x:v>
      </x:c>
      <x:c r="B310" s="23" t="str">
        <x:v>帮我查一下深圳大梅沙海滨公园D-HRW站点下，天线高度超过30米的小区，返回小区名称、天线高度和方位角。</x:v>
      </x:c>
      <x:c r="C310" s="23" t="str">
        <x:v>查询深圳大梅沙海滨公园D-HRW站点下，天线高度超过30米的小区，返回小区名称、天线高度和方位角</x:v>
      </x:c>
      <x:c r="D310" s="23" t="str">
        <x:v>问题推荐</x:v>
      </x:c>
      <x:c r="E310" s="23" t="str">
        <x:v>后续问题推荐</x:v>
      </x:c>
      <x:c r="F310" s="21" t="n">
        <x:v>1</x:v>
      </x:c>
      <x:c r="G310" s="21" t="str">
        <x:v>2026-08-12T10:23:49.651</x:v>
      </x:c>
      <x:c r="H310" s="36" t="n">
        <x:v>5144.033</x:v>
      </x:c>
      <x:c r="I310" s="36" t="n">
        <x:f>H310/1000</x:f>
        <x:v>5.144033</x:v>
      </x:c>
      <x:c r="J310" s="21" t="str">
        <x:v>data2/dsv4_2_recipe_ds.jsonl</x:v>
      </x:c>
      <x:c r="K310" s="21" t="n">
        <x:v>80</x:v>
      </x:c>
      <x:c r="L310" s="21" t="str">
        <x:v>original精确文本</x:v>
      </x:c>
    </x:row>
    <x:row r="311">
      <x:c r="A311" s="38" t="n">
        <x:v>37</x:v>
      </x:c>
      <x:c r="B311" s="23" t="str">
        <x:v>找出CBN-福州仓山-火车南站东南美化塔C-HRHH-518和CBN-福州仓山-福厦高铁鸡笼山隧道C-HRRH-513这两个5G小区中，机械下倾角在3到9之间的小区名称和机械下倾角。</x:v>
      </x:c>
      <x:c r="C311" s="23" t="str">
        <x:v>查询小区CBN-福州仓山-火车南站东南美化塔C-HRHH-518和CBN-福州仓山-福厦高铁鸡笼山隧道C-HRRH-513的工程参数，包括机械下倾角</x:v>
      </x:c>
      <x:c r="D311" s="23" t="str">
        <x:v>AICO Tool Call - Skill</x:v>
      </x:c>
      <x:c r="E311" s="23" t="str">
        <x:v>Skill</x:v>
      </x:c>
      <x:c r="F311" s="21" t="n">
        <x:v>1</x:v>
      </x:c>
      <x:c r="G311" s="21" t="str">
        <x:v>2026-08-12T10:23:50.532</x:v>
      </x:c>
      <x:c r="H311" s="36" t="n">
        <x:v>6243.693</x:v>
      </x:c>
      <x:c r="I311" s="36" t="n">
        <x:f>H311/1000</x:f>
        <x:v>6.243693</x:v>
      </x:c>
      <x:c r="J311" s="21" t="str">
        <x:v>data2/dsv4_2_aico.jsonl</x:v>
      </x:c>
      <x:c r="K311" s="21" t="n">
        <x:v>140</x:v>
      </x:c>
      <x:c r="L311" s="21" t="str">
        <x:v>original精确文本</x:v>
      </x:c>
    </x:row>
    <x:row r="312">
      <x:c r="A312" s="38" t="n">
        <x:v>37</x:v>
      </x:c>
      <x:c r="B312" s="23" t="str">
        <x:v>找出CBN-福州仓山-火车南站东南美化塔C-HRHH-518和CBN-福州仓山-福厦高铁鸡笼山隧道C-HRRH-513这两个5G小区中，机械下倾角在3到9之间的小区名称和机械下倾角。</x:v>
      </x:c>
      <x:c r="C312" s="23" t="str">
        <x:v>查询小区CBN-福州仓山-火车南站东南美化塔C-HRHH-518和CBN-福州仓山-福厦高铁鸡笼山隧道C-HRRH-513的工程参数，包括机械下倾角</x:v>
      </x:c>
      <x:c r="D312" s="23" t="str">
        <x:v>AICO Tool Call - Workflow</x:v>
      </x:c>
      <x:c r="E312" s="23" t="str">
        <x:v>Workflow</x:v>
      </x:c>
      <x:c r="F312" s="21" t="n">
        <x:v>1</x:v>
      </x:c>
      <x:c r="G312" s="21" t="str">
        <x:v>2026-08-12T10:23:56.929</x:v>
      </x:c>
      <x:c r="H312" s="36" t="n">
        <x:v>9002.305</x:v>
      </x:c>
      <x:c r="I312" s="36" t="n">
        <x:f>H312/1000</x:f>
        <x:v>9.002305</x:v>
      </x:c>
      <x:c r="J312" s="21" t="str">
        <x:v>data2/dsv4_2_aico.jsonl</x:v>
      </x:c>
      <x:c r="K312" s="21" t="n">
        <x:v>141</x:v>
      </x:c>
      <x:c r="L312" s="21" t="str">
        <x:v>original精确文本</x:v>
      </x:c>
    </x:row>
    <x:row r="313">
      <x:c r="A313" s="38" t="n">
        <x:v>37</x:v>
      </x:c>
      <x:c r="B313" s="23" t="str">
        <x:v>找出CBN-福州仓山-火车南站东南美化塔C-HRHH-518和CBN-福州仓山-福厦高铁鸡笼山隧道C-HRRH-513这两个5G小区中，机械下倾角在3到9之间的小区名称和机械下倾角。</x:v>
      </x:c>
      <x:c r="C313" s="23" t="str">
        <x:v>查询小区CBN-福州仓山-火车南站东南美化塔C-HRHH-518和CBN-福州仓山-福厦高铁鸡笼山隧道C-HRRH-513的工程参数，包括机械下倾角</x:v>
      </x:c>
      <x:c r="D313" s="23" t="str">
        <x:v>Recipe - DeepSeek</x:v>
      </x:c>
      <x:c r="E313" s="23" t="str">
        <x:v>DeepSeek recipe调用</x:v>
      </x:c>
      <x:c r="F313" s="21" t="n">
        <x:v>1</x:v>
      </x:c>
      <x:c r="G313" s="21" t="str">
        <x:v>2026-08-12T10:24:07.385</x:v>
      </x:c>
      <x:c r="H313" s="36" t="n">
        <x:v>4061.704</x:v>
      </x:c>
      <x:c r="I313" s="36" t="n">
        <x:f>H313/1000</x:f>
        <x:v>4.061704</x:v>
      </x:c>
      <x:c r="J313" s="21" t="str">
        <x:v>data2/dsv4_2_recipe_ds.jsonl</x:v>
      </x:c>
      <x:c r="K313" s="21" t="n">
        <x:v>81</x:v>
      </x:c>
      <x:c r="L313" s="21" t="str">
        <x:v>processed精确文本</x:v>
      </x:c>
    </x:row>
    <x:row r="314">
      <x:c r="A314" s="38" t="n">
        <x:v>37</x:v>
      </x:c>
      <x:c r="B314" s="23" t="str">
        <x:v>找出CBN-福州仓山-火车南站东南美化塔C-HRHH-518和CBN-福州仓山-福厦高铁鸡笼山隧道C-HRRH-513这两个5G小区中，机械下倾角在3到9之间的小区名称和机械下倾角。</x:v>
      </x:c>
      <x:c r="C314" s="23" t="str">
        <x:v>查询小区CBN-福州仓山-火车南站东南美化塔C-HRHH-518和CBN-福州仓山-福厦高铁鸡笼山隧道C-HRRH-513的工程参数，包括机械下倾角</x:v>
      </x:c>
      <x:c r="D314" s="23" t="str">
        <x:v>Recipe - Qwen执行</x:v>
      </x:c>
      <x:c r="E314" s="23" t="str">
        <x:v>同一问题第1次Qwen调用</x:v>
      </x:c>
      <x:c r="F314" s="21" t="n">
        <x:v>1</x:v>
      </x:c>
      <x:c r="G314" s="21" t="str">
        <x:v>2026-08-12T10:24:11.785</x:v>
      </x:c>
      <x:c r="H314" s="36" t="n">
        <x:v>1693.412</x:v>
      </x:c>
      <x:c r="I314" s="36" t="n">
        <x:f>H314/1000</x:f>
        <x:v>1.6934120000000001</x:v>
      </x:c>
      <x:c r="J314" s="21" t="str">
        <x:v>data2/qwen3_2.jsonl</x:v>
      </x:c>
      <x:c r="K314" s="21" t="n">
        <x:v>91</x:v>
      </x:c>
      <x:c r="L314" s="21" t="str">
        <x:v>processed精确文本</x:v>
      </x:c>
    </x:row>
    <x:row r="315">
      <x:c r="A315" s="38" t="n">
        <x:v>37</x:v>
      </x:c>
      <x:c r="B315" s="23" t="str">
        <x:v>找出CBN-福州仓山-火车南站东南美化塔C-HRHH-518和CBN-福州仓山-福厦高铁鸡笼山隧道C-HRRH-513这两个5G小区中，机械下倾角在3到9之间的小区名称和机械下倾角。</x:v>
      </x:c>
      <x:c r="C315" s="23" t="str">
        <x:v>查询小区CBN-福州仓山-火车南站东南美化塔C-HRHH-518和CBN-福州仓山-福厦高铁鸡笼山隧道C-HRRH-513的工程参数，包括机械下倾角</x:v>
      </x:c>
      <x:c r="D315" s="23" t="str">
        <x:v>Recipe - Qwen总结</x:v>
      </x:c>
      <x:c r="E315" s="23" t="str">
        <x:v>同一问题最后一次Qwen调用</x:v>
      </x:c>
      <x:c r="F315" s="21" t="n">
        <x:v>1</x:v>
      </x:c>
      <x:c r="G315" s="21" t="str">
        <x:v>2026-08-12T10:24:14.005</x:v>
      </x:c>
      <x:c r="H315" s="36" t="n">
        <x:v>1670.008</x:v>
      </x:c>
      <x:c r="I315" s="36" t="n">
        <x:f>H315/1000</x:f>
        <x:v>1.670008</x:v>
      </x:c>
      <x:c r="J315" s="21" t="str">
        <x:v>data2/qwen3_2.jsonl</x:v>
      </x:c>
      <x:c r="K315" s="21" t="n">
        <x:v>92</x:v>
      </x:c>
      <x:c r="L315" s="21" t="str">
        <x:v>processed精确文本</x:v>
      </x:c>
    </x:row>
    <x:row r="316">
      <x:c r="A316" s="38" t="n">
        <x:v>37</x:v>
      </x:c>
      <x:c r="B316" s="23" t="str">
        <x:v>找出CBN-福州仓山-火车南站东南美化塔C-HRHH-518和CBN-福州仓山-福厦高铁鸡笼山隧道C-HRRH-513这两个5G小区中，机械下倾角在3到9之间的小区名称和机械下倾角。</x:v>
      </x:c>
      <x:c r="C316" s="23" t="str">
        <x:v>查询小区CBN-福州仓山-火车南站东南美化塔C-HRHH-518和CBN-福州仓山-福厦高铁鸡笼山隧道C-HRRH-513的工程参数，包括机械下倾角</x:v>
      </x:c>
      <x:c r="D316" s="23" t="str">
        <x:v>AICO总结</x:v>
      </x:c>
      <x:c r="E316" s="23" t="str">
        <x:v>无tool_calls</x:v>
      </x:c>
      <x:c r="F316" s="21" t="n">
        <x:v>1</x:v>
      </x:c>
      <x:c r="G316" s="21" t="str">
        <x:v>2026-08-12T10:24:15.943</x:v>
      </x:c>
      <x:c r="H316" s="36" t="n">
        <x:v>8250.736</x:v>
      </x:c>
      <x:c r="I316" s="36" t="n">
        <x:f>H316/1000</x:f>
        <x:v>8.250736000000002</x:v>
      </x:c>
      <x:c r="J316" s="21" t="str">
        <x:v>data2/dsv4_2_aico.jsonl</x:v>
      </x:c>
      <x:c r="K316" s="21" t="n">
        <x:v>142</x:v>
      </x:c>
      <x:c r="L316" s="21" t="str">
        <x:v>original精确文本</x:v>
      </x:c>
    </x:row>
    <x:row r="317">
      <x:c r="A317" s="38" t="n">
        <x:v>37</x:v>
      </x:c>
      <x:c r="B317" s="23" t="str">
        <x:v>找出CBN-福州仓山-火车南站东南美化塔C-HRHH-518和CBN-福州仓山-福厦高铁鸡笼山隧道C-HRRH-513这两个5G小区中，机械下倾角在3到9之间的小区名称和机械下倾角。</x:v>
      </x:c>
      <x:c r="C317" s="23" t="str">
        <x:v>查询小区CBN-福州仓山-火车南站东南美化塔C-HRHH-518和CBN-福州仓山-福厦高铁鸡笼山隧道C-HRRH-513的工程参数，包括机械下倾角</x:v>
      </x:c>
      <x:c r="D317" s="23" t="str">
        <x:v>问题推荐</x:v>
      </x:c>
      <x:c r="E317" s="23" t="str">
        <x:v>后续问题推荐</x:v>
      </x:c>
      <x:c r="F317" s="21" t="n">
        <x:v>1</x:v>
      </x:c>
      <x:c r="G317" s="21" t="str">
        <x:v>2026-08-12T10:24:24.558</x:v>
      </x:c>
      <x:c r="H317" s="36" t="n">
        <x:v>7526.768</x:v>
      </x:c>
      <x:c r="I317" s="36" t="n">
        <x:f>H317/1000</x:f>
        <x:v>7.526768</x:v>
      </x:c>
      <x:c r="J317" s="21" t="str">
        <x:v>data2/dsv4_2_recipe_ds.jsonl</x:v>
      </x:c>
      <x:c r="K317" s="21" t="n">
        <x:v>82</x:v>
      </x:c>
      <x:c r="L317" s="21" t="str">
        <x:v>original精确文本</x:v>
      </x:c>
    </x:row>
    <x:row r="318">
      <x:c r="A318" s="38" t="n">
        <x:v>38</x:v>
      </x:c>
      <x:c r="B318" s="23" t="str">
        <x:v>确认一下CBN-深圳梅沙湾U-H5H-0712小区，如果方位角等于180且电子下倾角不低于6，返回它的站点名称、方位角和电子下倾角。</x:v>
      </x:c>
      <x:c r="C318" s="23" t="str">
        <x:v>查询小区CBN-深圳梅沙湾U-H5H-0712的站点名称、方位角和电子下倾角</x:v>
      </x:c>
      <x:c r="D318" s="23" t="str">
        <x:v>AICO Tool Call - Skill</x:v>
      </x:c>
      <x:c r="E318" s="23" t="str">
        <x:v>Skill</x:v>
      </x:c>
      <x:c r="F318" s="21" t="n">
        <x:v>1</x:v>
      </x:c>
      <x:c r="G318" s="21" t="str">
        <x:v>2026-08-12T10:24:25.457</x:v>
      </x:c>
      <x:c r="H318" s="36" t="n">
        <x:v>8108.871</x:v>
      </x:c>
      <x:c r="I318" s="36" t="n">
        <x:f>H318/1000</x:f>
        <x:v>8.108871</x:v>
      </x:c>
      <x:c r="J318" s="21" t="str">
        <x:v>data2/dsv4_2_aico.jsonl</x:v>
      </x:c>
      <x:c r="K318" s="21" t="n">
        <x:v>143</x:v>
      </x:c>
      <x:c r="L318" s="21" t="str">
        <x:v>original精确文本</x:v>
      </x:c>
    </x:row>
    <x:row r="319">
      <x:c r="A319" s="38" t="n">
        <x:v>38</x:v>
      </x:c>
      <x:c r="B319" s="23" t="str">
        <x:v>确认一下CBN-深圳梅沙湾U-H5H-0712小区，如果方位角等于180且电子下倾角不低于6，返回它的站点名称、方位角和电子下倾角。</x:v>
      </x:c>
      <x:c r="C319" s="23" t="str">
        <x:v>查询小区CBN-深圳梅沙湾U-H5H-0712的站点名称、方位角和电子下倾角</x:v>
      </x:c>
      <x:c r="D319" s="23" t="str">
        <x:v>AICO Tool Call - Workflow</x:v>
      </x:c>
      <x:c r="E319" s="23" t="str">
        <x:v>Workflow</x:v>
      </x:c>
      <x:c r="F319" s="21" t="n">
        <x:v>1</x:v>
      </x:c>
      <x:c r="G319" s="21" t="str">
        <x:v>2026-08-12T10:24:33.735</x:v>
      </x:c>
      <x:c r="H319" s="36" t="n">
        <x:v>5274.115</x:v>
      </x:c>
      <x:c r="I319" s="36" t="n">
        <x:f>H319/1000</x:f>
        <x:v>5.274115</x:v>
      </x:c>
      <x:c r="J319" s="21" t="str">
        <x:v>data2/dsv4_2_aico.jsonl</x:v>
      </x:c>
      <x:c r="K319" s="21" t="n">
        <x:v>144</x:v>
      </x:c>
      <x:c r="L319" s="21" t="str">
        <x:v>original精确文本</x:v>
      </x:c>
    </x:row>
    <x:row r="320">
      <x:c r="A320" s="38" t="n">
        <x:v>38</x:v>
      </x:c>
      <x:c r="B320" s="23" t="str">
        <x:v>确认一下CBN-深圳梅沙湾U-H5H-0712小区，如果方位角等于180且电子下倾角不低于6，返回它的站点名称、方位角和电子下倾角。</x:v>
      </x:c>
      <x:c r="C320" s="23" t="str">
        <x:v>查询小区CBN-深圳梅沙湾U-H5H-0712的站点名称、方位角和电子下倾角</x:v>
      </x:c>
      <x:c r="D320" s="23" t="str">
        <x:v>Recipe - DeepSeek</x:v>
      </x:c>
      <x:c r="E320" s="23" t="str">
        <x:v>DeepSeek recipe调用</x:v>
      </x:c>
      <x:c r="F320" s="21" t="n">
        <x:v>1</x:v>
      </x:c>
      <x:c r="G320" s="21" t="str">
        <x:v>2026-08-12T10:24:40.443</x:v>
      </x:c>
      <x:c r="H320" s="36" t="n">
        <x:v>3373.727</x:v>
      </x:c>
      <x:c r="I320" s="36" t="n">
        <x:f>H320/1000</x:f>
        <x:v>3.3737269999999997</x:v>
      </x:c>
      <x:c r="J320" s="21" t="str">
        <x:v>data2/dsv4_2_recipe_ds.jsonl</x:v>
      </x:c>
      <x:c r="K320" s="21" t="n">
        <x:v>83</x:v>
      </x:c>
      <x:c r="L320" s="21" t="str">
        <x:v>processed精确文本</x:v>
      </x:c>
    </x:row>
    <x:row r="321">
      <x:c r="A321" s="38" t="n">
        <x:v>38</x:v>
      </x:c>
      <x:c r="B321" s="23" t="str">
        <x:v>确认一下CBN-深圳梅沙湾U-H5H-0712小区，如果方位角等于180且电子下倾角不低于6，返回它的站点名称、方位角和电子下倾角。</x:v>
      </x:c>
      <x:c r="C321" s="23" t="str">
        <x:v>查询小区CBN-深圳梅沙湾U-H5H-0712的站点名称、方位角和电子下倾角</x:v>
      </x:c>
      <x:c r="D321" s="23" t="str">
        <x:v>Recipe - Qwen执行</x:v>
      </x:c>
      <x:c r="E321" s="23" t="str">
        <x:v>同一问题第1次Qwen调用</x:v>
      </x:c>
      <x:c r="F321" s="21" t="n">
        <x:v>1</x:v>
      </x:c>
      <x:c r="G321" s="21" t="str">
        <x:v>2026-08-12T10:24:44.143</x:v>
      </x:c>
      <x:c r="H321" s="36" t="n">
        <x:v>1290.959</x:v>
      </x:c>
      <x:c r="I321" s="36" t="n">
        <x:f>H321/1000</x:f>
        <x:v>1.290959</x:v>
      </x:c>
      <x:c r="J321" s="21" t="str">
        <x:v>data2/qwen3_2.jsonl</x:v>
      </x:c>
      <x:c r="K321" s="21" t="n">
        <x:v>93</x:v>
      </x:c>
      <x:c r="L321" s="21" t="str">
        <x:v>processed精确文本</x:v>
      </x:c>
    </x:row>
    <x:row r="322">
      <x:c r="A322" s="38" t="n">
        <x:v>38</x:v>
      </x:c>
      <x:c r="B322" s="23" t="str">
        <x:v>确认一下CBN-深圳梅沙湾U-H5H-0712小区，如果方位角等于180且电子下倾角不低于6，返回它的站点名称、方位角和电子下倾角。</x:v>
      </x:c>
      <x:c r="C322" s="23" t="str">
        <x:v>查询小区CBN-深圳梅沙湾U-H5H-0712的站点名称、方位角和电子下倾角</x:v>
      </x:c>
      <x:c r="D322" s="23" t="str">
        <x:v>Recipe - Qwen总结</x:v>
      </x:c>
      <x:c r="E322" s="23" t="str">
        <x:v>同一问题最后一次Qwen调用</x:v>
      </x:c>
      <x:c r="F322" s="21" t="n">
        <x:v>1</x:v>
      </x:c>
      <x:c r="G322" s="21" t="str">
        <x:v>2026-08-12T10:24:45.939</x:v>
      </x:c>
      <x:c r="H322" s="36" t="n">
        <x:v>1567.545</x:v>
      </x:c>
      <x:c r="I322" s="36" t="n">
        <x:f>H322/1000</x:f>
        <x:v>1.567545</x:v>
      </x:c>
      <x:c r="J322" s="21" t="str">
        <x:v>data2/qwen3_2.jsonl</x:v>
      </x:c>
      <x:c r="K322" s="21" t="n">
        <x:v>94</x:v>
      </x:c>
      <x:c r="L322" s="21" t="str">
        <x:v>processed精确文本</x:v>
      </x:c>
    </x:row>
    <x:row r="323">
      <x:c r="A323" s="38" t="n">
        <x:v>38</x:v>
      </x:c>
      <x:c r="B323" s="23" t="str">
        <x:v>确认一下CBN-深圳梅沙湾U-H5H-0712小区，如果方位角等于180且电子下倾角不低于6，返回它的站点名称、方位角和电子下倾角。</x:v>
      </x:c>
      <x:c r="C323" s="23" t="str">
        <x:v>查询小区CBN-深圳梅沙湾U-H5H-0712的站点名称、方位角和电子下倾角</x:v>
      </x:c>
      <x:c r="D323" s="23" t="str">
        <x:v>AICO总结</x:v>
      </x:c>
      <x:c r="E323" s="23" t="str">
        <x:v>无tool_calls</x:v>
      </x:c>
      <x:c r="F323" s="21" t="n">
        <x:v>1</x:v>
      </x:c>
      <x:c r="G323" s="21" t="str">
        <x:v>2026-08-12T10:24:47.772</x:v>
      </x:c>
      <x:c r="H323" s="36" t="n">
        <x:v>5806.932</x:v>
      </x:c>
      <x:c r="I323" s="36" t="n">
        <x:f>H323/1000</x:f>
        <x:v>5.806932</x:v>
      </x:c>
      <x:c r="J323" s="21" t="str">
        <x:v>data2/dsv4_2_aico.jsonl</x:v>
      </x:c>
      <x:c r="K323" s="21" t="n">
        <x:v>145</x:v>
      </x:c>
      <x:c r="L323" s="21" t="str">
        <x:v>original精确文本</x:v>
      </x:c>
    </x:row>
    <x:row r="324">
      <x:c r="A324" s="38" t="n">
        <x:v>38</x:v>
      </x:c>
      <x:c r="B324" s="23" t="str">
        <x:v>确认一下CBN-深圳梅沙湾U-H5H-0712小区，如果方位角等于180且电子下倾角不低于6，返回它的站点名称、方位角和电子下倾角。</x:v>
      </x:c>
      <x:c r="C324" s="23" t="str">
        <x:v>查询小区CBN-深圳梅沙湾U-H5H-0712的站点名称、方位角和电子下倾角</x:v>
      </x:c>
      <x:c r="D324" s="23" t="str">
        <x:v>问题推荐</x:v>
      </x:c>
      <x:c r="E324" s="23" t="str">
        <x:v>后续问题推荐</x:v>
      </x:c>
      <x:c r="F324" s="21" t="n">
        <x:v>1</x:v>
      </x:c>
      <x:c r="G324" s="21" t="str">
        <x:v>2026-08-12T10:24:53.877</x:v>
      </x:c>
      <x:c r="H324" s="36" t="n">
        <x:v>5423.695</x:v>
      </x:c>
      <x:c r="I324" s="36" t="n">
        <x:f>H324/1000</x:f>
        <x:v>5.4236949999999995</x:v>
      </x:c>
      <x:c r="J324" s="21" t="str">
        <x:v>data2/dsv4_2_recipe_ds.jsonl</x:v>
      </x:c>
      <x:c r="K324" s="21" t="n">
        <x:v>84</x:v>
      </x:c>
      <x:c r="L324" s="21" t="str">
        <x:v>original精确文本</x:v>
      </x:c>
    </x:row>
    <x:row r="325">
      <x:c r="A325" s="38" t="n">
        <x:v>39</x:v>
      </x:c>
      <x:c r="B325" s="23" t="str">
        <x:v>看一下深圳东海岸三D-HRH和深圳奥特莱斯D-HRH这两个站点下，NR制式中方位角为90或270的小区，返回小区名称和方位角。</x:v>
      </x:c>
      <x:c r="C325" s="23" t="str">
        <x:v>查询深圳东海岸三D-HRH和深圳奥特莱斯D-HRH这两个站点下，NR制式中方位角为90或270的小区，返回小区名称和方位角</x:v>
      </x:c>
      <x:c r="D325" s="23" t="str">
        <x:v>AICO Tool Call - Skill</x:v>
      </x:c>
      <x:c r="E325" s="23" t="str">
        <x:v>Skill</x:v>
      </x:c>
      <x:c r="F325" s="21" t="n">
        <x:v>1</x:v>
      </x:c>
      <x:c r="G325" s="21" t="str">
        <x:v>2026-08-12T10:24:54.761</x:v>
      </x:c>
      <x:c r="H325" s="36" t="n">
        <x:v>5774.95</x:v>
      </x:c>
      <x:c r="I325" s="36" t="n">
        <x:f>H325/1000</x:f>
        <x:v>5.77495</x:v>
      </x:c>
      <x:c r="J325" s="21" t="str">
        <x:v>data2/dsv4_2_aico.jsonl</x:v>
      </x:c>
      <x:c r="K325" s="21" t="n">
        <x:v>146</x:v>
      </x:c>
      <x:c r="L325" s="21" t="str">
        <x:v>original精确文本</x:v>
      </x:c>
    </x:row>
    <x:row r="326">
      <x:c r="A326" s="38" t="n">
        <x:v>39</x:v>
      </x:c>
      <x:c r="B326" s="23" t="str">
        <x:v>看一下深圳东海岸三D-HRH和深圳奥特莱斯D-HRH这两个站点下，NR制式中方位角为90或270的小区，返回小区名称和方位角。</x:v>
      </x:c>
      <x:c r="C326" s="23" t="str">
        <x:v>查询深圳东海岸三D-HRH和深圳奥特莱斯D-HRH这两个站点下，NR制式中方位角为90或270的小区，返回小区名称和方位角</x:v>
      </x:c>
      <x:c r="D326" s="23" t="str">
        <x:v>AICO Tool Call - Workflow</x:v>
      </x:c>
      <x:c r="E326" s="23" t="str">
        <x:v>Workflow</x:v>
      </x:c>
      <x:c r="F326" s="21" t="n">
        <x:v>1</x:v>
      </x:c>
      <x:c r="G326" s="21" t="str">
        <x:v>2026-08-12T10:25:00.689</x:v>
      </x:c>
      <x:c r="H326" s="36" t="n">
        <x:v>5547.091</x:v>
      </x:c>
      <x:c r="I326" s="36" t="n">
        <x:f>H326/1000</x:f>
        <x:v>5.547091</x:v>
      </x:c>
      <x:c r="J326" s="21" t="str">
        <x:v>data2/dsv4_2_aico.jsonl</x:v>
      </x:c>
      <x:c r="K326" s="21" t="n">
        <x:v>147</x:v>
      </x:c>
      <x:c r="L326" s="21" t="str">
        <x:v>original精确文本</x:v>
      </x:c>
    </x:row>
    <x:row r="327">
      <x:c r="A327" s="38" t="n">
        <x:v>39</x:v>
      </x:c>
      <x:c r="B327" s="23" t="str">
        <x:v>看一下深圳东海岸三D-HRH和深圳奥特莱斯D-HRH这两个站点下，NR制式中方位角为90或270的小区，返回小区名称和方位角。</x:v>
      </x:c>
      <x:c r="C327" s="23" t="str">
        <x:v>查询深圳东海岸三D-HRH和深圳奥特莱斯D-HRH这两个站点下，NR制式中方位角为90或270的小区，返回小区名称和方位角</x:v>
      </x:c>
      <x:c r="D327" s="23" t="str">
        <x:v>Recipe - DeepSeek</x:v>
      </x:c>
      <x:c r="E327" s="23" t="str">
        <x:v>DeepSeek recipe调用</x:v>
      </x:c>
      <x:c r="F327" s="21" t="n">
        <x:v>1</x:v>
      </x:c>
      <x:c r="G327" s="21" t="str">
        <x:v>2026-08-12T10:25:07.650</x:v>
      </x:c>
      <x:c r="H327" s="36" t="n">
        <x:v>3821.722</x:v>
      </x:c>
      <x:c r="I327" s="36" t="n">
        <x:f>H327/1000</x:f>
        <x:v>3.8217220000000003</x:v>
      </x:c>
      <x:c r="J327" s="21" t="str">
        <x:v>data2/dsv4_2_recipe_ds.jsonl</x:v>
      </x:c>
      <x:c r="K327" s="21" t="n">
        <x:v>85</x:v>
      </x:c>
      <x:c r="L327" s="21" t="str">
        <x:v>processed精确文本</x:v>
      </x:c>
    </x:row>
    <x:row r="328">
      <x:c r="A328" s="38" t="n">
        <x:v>39</x:v>
      </x:c>
      <x:c r="B328" s="23" t="str">
        <x:v>看一下深圳东海岸三D-HRH和深圳奥特莱斯D-HRH这两个站点下，NR制式中方位角为90或270的小区，返回小区名称和方位角。</x:v>
      </x:c>
      <x:c r="C328" s="23" t="str">
        <x:v>查询深圳东海岸三D-HRH和深圳奥特莱斯D-HRH这两个站点下，NR制式中方位角为90或270的小区，返回小区名称和方位角</x:v>
      </x:c>
      <x:c r="D328" s="23" t="str">
        <x:v>Recipe - Qwen执行</x:v>
      </x:c>
      <x:c r="E328" s="23" t="str">
        <x:v>同一问题第1次Qwen调用</x:v>
      </x:c>
      <x:c r="F328" s="21" t="n">
        <x:v>1</x:v>
      </x:c>
      <x:c r="G328" s="21" t="str">
        <x:v>2026-08-12T10:25:11.801</x:v>
      </x:c>
      <x:c r="H328" s="36" t="n">
        <x:v>1627.263</x:v>
      </x:c>
      <x:c r="I328" s="36" t="n">
        <x:f>H328/1000</x:f>
        <x:v>1.627263</x:v>
      </x:c>
      <x:c r="J328" s="21" t="str">
        <x:v>data2/qwen3_2.jsonl</x:v>
      </x:c>
      <x:c r="K328" s="21" t="n">
        <x:v>95</x:v>
      </x:c>
      <x:c r="L328" s="21" t="str">
        <x:v>processed精确文本</x:v>
      </x:c>
    </x:row>
    <x:row r="329">
      <x:c r="A329" s="38" t="n">
        <x:v>39</x:v>
      </x:c>
      <x:c r="B329" s="23" t="str">
        <x:v>看一下深圳东海岸三D-HRH和深圳奥特莱斯D-HRH这两个站点下，NR制式中方位角为90或270的小区，返回小区名称和方位角。</x:v>
      </x:c>
      <x:c r="C329" s="23" t="str">
        <x:v>查询深圳东海岸三D-HRH和深圳奥特莱斯D-HRH这两个站点下，NR制式中方位角为90或270的小区，返回小区名称和方位角</x:v>
      </x:c>
      <x:c r="D329" s="23" t="str">
        <x:v>Recipe - Qwen总结</x:v>
      </x:c>
      <x:c r="E329" s="23" t="str">
        <x:v>同一问题最后一次Qwen调用</x:v>
      </x:c>
      <x:c r="F329" s="21" t="n">
        <x:v>1</x:v>
      </x:c>
      <x:c r="G329" s="21" t="str">
        <x:v>2026-08-12T10:25:13.949</x:v>
      </x:c>
      <x:c r="H329" s="36" t="n">
        <x:v>2491.08</x:v>
      </x:c>
      <x:c r="I329" s="36" t="n">
        <x:f>H329/1000</x:f>
        <x:v>2.4910799999999997</x:v>
      </x:c>
      <x:c r="J329" s="21" t="str">
        <x:v>data2/qwen3_2.jsonl</x:v>
      </x:c>
      <x:c r="K329" s="21" t="n">
        <x:v>96</x:v>
      </x:c>
      <x:c r="L329" s="21" t="str">
        <x:v>processed精确文本</x:v>
      </x:c>
    </x:row>
    <x:row r="330">
      <x:c r="A330" s="38" t="n">
        <x:v>39</x:v>
      </x:c>
      <x:c r="B330" s="23" t="str">
        <x:v>看一下深圳东海岸三D-HRH和深圳奥特莱斯D-HRH这两个站点下，NR制式中方位角为90或270的小区，返回小区名称和方位角。</x:v>
      </x:c>
      <x:c r="C330" s="23" t="str">
        <x:v>查询深圳东海岸三D-HRH和深圳奥特莱斯D-HRH这两个站点下，NR制式中方位角为90或270的小区，返回小区名称和方位角</x:v>
      </x:c>
      <x:c r="D330" s="23" t="str">
        <x:v>AICO总结</x:v>
      </x:c>
      <x:c r="E330" s="23" t="str">
        <x:v>无tool_calls</x:v>
      </x:c>
      <x:c r="F330" s="21" t="n">
        <x:v>1</x:v>
      </x:c>
      <x:c r="G330" s="21" t="str">
        <x:v>2026-08-12T10:25:16.701</x:v>
      </x:c>
      <x:c r="H330" s="36" t="n">
        <x:v>6074.421</x:v>
      </x:c>
      <x:c r="I330" s="36" t="n">
        <x:f>H330/1000</x:f>
        <x:v>6.074421</x:v>
      </x:c>
      <x:c r="J330" s="21" t="str">
        <x:v>data2/dsv4_2_aico.jsonl</x:v>
      </x:c>
      <x:c r="K330" s="21" t="n">
        <x:v>148</x:v>
      </x:c>
      <x:c r="L330" s="21" t="str">
        <x:v>original精确文本</x:v>
      </x:c>
    </x:row>
    <x:row r="331">
      <x:c r="A331" s="38" t="n">
        <x:v>39</x:v>
      </x:c>
      <x:c r="B331" s="23" t="str">
        <x:v>看一下深圳东海岸三D-HRH和深圳奥特莱斯D-HRH这两个站点下，NR制式中方位角为90或270的小区，返回小区名称和方位角。</x:v>
      </x:c>
      <x:c r="C331" s="23" t="str">
        <x:v>查询深圳东海岸三D-HRH和深圳奥特莱斯D-HRH这两个站点下，NR制式中方位角为90或270的小区，返回小区名称和方位角</x:v>
      </x:c>
      <x:c r="D331" s="23" t="str">
        <x:v>问题推荐</x:v>
      </x:c>
      <x:c r="E331" s="23" t="str">
        <x:v>后续问题推荐</x:v>
      </x:c>
      <x:c r="F331" s="21" t="n">
        <x:v>1</x:v>
      </x:c>
      <x:c r="G331" s="21" t="str">
        <x:v>2026-08-12T10:25:23.055</x:v>
      </x:c>
      <x:c r="H331" s="36" t="n">
        <x:v>5734.9</x:v>
      </x:c>
      <x:c r="I331" s="36" t="n">
        <x:f>H331/1000</x:f>
        <x:v>5.7349</x:v>
      </x:c>
      <x:c r="J331" s="21" t="str">
        <x:v>data2/dsv4_2_recipe_ds.jsonl</x:v>
      </x:c>
      <x:c r="K331" s="21" t="n">
        <x:v>86</x:v>
      </x:c>
      <x:c r="L331" s="21" t="str">
        <x:v>original精确文本</x:v>
      </x:c>
    </x:row>
    <x:row r="332">
      <x:c r="A332" s="38" t="n">
        <x:v>40</x:v>
      </x:c>
      <x:c r="B332" s="23" t="str">
        <x:v>帮我筛一下CBN-福州晋安-东浦新村4号楼C-HRHH-512小区，排除掉天线高度等于20米的情况，返回小区名称、天线高度和经度。</x:v>
      </x:c>
      <x:c r="C332" s="23" t="str">
        <x:v>查询CBN-福州晋安-东浦新村4号楼C-HRHH-512小区的工程参数，返回小区名称、天线高度和经度，排除天线高度等于20米的数据</x:v>
      </x:c>
      <x:c r="D332" s="23" t="str">
        <x:v>AICO Tool Call - Skill</x:v>
      </x:c>
      <x:c r="E332" s="23" t="str">
        <x:v>Skill</x:v>
      </x:c>
      <x:c r="F332" s="21" t="n">
        <x:v>1</x:v>
      </x:c>
      <x:c r="G332" s="21" t="str">
        <x:v>2026-08-12T10:25:23.954</x:v>
      </x:c>
      <x:c r="H332" s="36" t="n">
        <x:v>5735.752</x:v>
      </x:c>
      <x:c r="I332" s="36" t="n">
        <x:f>H332/1000</x:f>
        <x:v>5.735752000000001</x:v>
      </x:c>
      <x:c r="J332" s="21" t="str">
        <x:v>data2/dsv4_2_aico.jsonl</x:v>
      </x:c>
      <x:c r="K332" s="21" t="n">
        <x:v>149</x:v>
      </x:c>
      <x:c r="L332" s="21" t="str">
        <x:v>original精确文本</x:v>
      </x:c>
    </x:row>
    <x:row r="333">
      <x:c r="A333" s="38" t="n">
        <x:v>40</x:v>
      </x:c>
      <x:c r="B333" s="23" t="str">
        <x:v>帮我筛一下CBN-福州晋安-东浦新村4号楼C-HRHH-512小区，排除掉天线高度等于20米的情况，返回小区名称、天线高度和经度。</x:v>
      </x:c>
      <x:c r="C333" s="23" t="str">
        <x:v>查询CBN-福州晋安-东浦新村4号楼C-HRHH-512小区的工程参数，返回小区名称、天线高度和经度，排除天线高度等于20米的数据</x:v>
      </x:c>
      <x:c r="D333" s="23" t="str">
        <x:v>AICO Tool Call - Workflow</x:v>
      </x:c>
      <x:c r="E333" s="23" t="str">
        <x:v>Workflow</x:v>
      </x:c>
      <x:c r="F333" s="21" t="n">
        <x:v>1</x:v>
      </x:c>
      <x:c r="G333" s="21" t="str">
        <x:v>2026-08-12T10:25:29.854</x:v>
      </x:c>
      <x:c r="H333" s="36" t="n">
        <x:v>6128.734</x:v>
      </x:c>
      <x:c r="I333" s="36" t="n">
        <x:f>H333/1000</x:f>
        <x:v>6.128734000000001</x:v>
      </x:c>
      <x:c r="J333" s="21" t="str">
        <x:v>data2/dsv4_2_aico.jsonl</x:v>
      </x:c>
      <x:c r="K333" s="21" t="n">
        <x:v>150</x:v>
      </x:c>
      <x:c r="L333" s="21" t="str">
        <x:v>original精确文本</x:v>
      </x:c>
    </x:row>
    <x:row r="334">
      <x:c r="A334" s="38" t="n">
        <x:v>40</x:v>
      </x:c>
      <x:c r="B334" s="23" t="str">
        <x:v>帮我筛一下CBN-福州晋安-东浦新村4号楼C-HRHH-512小区，排除掉天线高度等于20米的情况，返回小区名称、天线高度和经度。</x:v>
      </x:c>
      <x:c r="C334" s="23" t="str">
        <x:v>查询CBN-福州晋安-东浦新村4号楼C-HRHH-512小区的工程参数，返回小区名称、天线高度和经度，排除天线高度等于20米的数据</x:v>
      </x:c>
      <x:c r="D334" s="23" t="str">
        <x:v>Recipe - DeepSeek</x:v>
      </x:c>
      <x:c r="E334" s="23" t="str">
        <x:v>DeepSeek recipe调用</x:v>
      </x:c>
      <x:c r="F334" s="21" t="n">
        <x:v>1</x:v>
      </x:c>
      <x:c r="G334" s="21" t="str">
        <x:v>2026-08-12T10:25:37.347</x:v>
      </x:c>
      <x:c r="H334" s="36" t="n">
        <x:v>3704.983</x:v>
      </x:c>
      <x:c r="I334" s="36" t="n">
        <x:f>H334/1000</x:f>
        <x:v>3.7049830000000004</x:v>
      </x:c>
      <x:c r="J334" s="21" t="str">
        <x:v>data2/dsv4_2_recipe_ds.jsonl</x:v>
      </x:c>
      <x:c r="K334" s="21" t="n">
        <x:v>87</x:v>
      </x:c>
      <x:c r="L334" s="21" t="str">
        <x:v>processed精确文本</x:v>
      </x:c>
    </x:row>
    <x:row r="335">
      <x:c r="A335" s="38" t="n">
        <x:v>40</x:v>
      </x:c>
      <x:c r="B335" s="23" t="str">
        <x:v>帮我筛一下CBN-福州晋安-东浦新村4号楼C-HRHH-512小区，排除掉天线高度等于20米的情况，返回小区名称、天线高度和经度。</x:v>
      </x:c>
      <x:c r="C335" s="23" t="str">
        <x:v>查询CBN-福州晋安-东浦新村4号楼C-HRHH-512小区的工程参数，返回小区名称、天线高度和经度，排除天线高度等于20米的数据</x:v>
      </x:c>
      <x:c r="D335" s="23" t="str">
        <x:v>Recipe - Qwen执行</x:v>
      </x:c>
      <x:c r="E335" s="23" t="str">
        <x:v>同一问题第1次Qwen调用</x:v>
      </x:c>
      <x:c r="F335" s="21" t="n">
        <x:v>1</x:v>
      </x:c>
      <x:c r="G335" s="21" t="str">
        <x:v>2026-08-12T10:25:41.401</x:v>
      </x:c>
      <x:c r="H335" s="36" t="n">
        <x:v>1591.004</x:v>
      </x:c>
      <x:c r="I335" s="36" t="n">
        <x:f>H335/1000</x:f>
        <x:v>1.5910039999999999</x:v>
      </x:c>
      <x:c r="J335" s="21" t="str">
        <x:v>data2/qwen3_2.jsonl</x:v>
      </x:c>
      <x:c r="K335" s="21" t="n">
        <x:v>97</x:v>
      </x:c>
      <x:c r="L335" s="21" t="str">
        <x:v>processed精确文本</x:v>
      </x:c>
    </x:row>
    <x:row r="336">
      <x:c r="A336" s="38" t="n">
        <x:v>40</x:v>
      </x:c>
      <x:c r="B336" s="23" t="str">
        <x:v>帮我筛一下CBN-福州晋安-东浦新村4号楼C-HRHH-512小区，排除掉天线高度等于20米的情况，返回小区名称、天线高度和经度。</x:v>
      </x:c>
      <x:c r="C336" s="23" t="str">
        <x:v>查询CBN-福州晋安-东浦新村4号楼C-HRHH-512小区的工程参数，返回小区名称、天线高度和经度，排除天线高度等于20米的数据</x:v>
      </x:c>
      <x:c r="D336" s="23" t="str">
        <x:v>Recipe - Qwen总结</x:v>
      </x:c>
      <x:c r="E336" s="23" t="str">
        <x:v>同一问题最后一次Qwen调用</x:v>
      </x:c>
      <x:c r="F336" s="21" t="n">
        <x:v>1</x:v>
      </x:c>
      <x:c r="G336" s="21" t="str">
        <x:v>2026-08-12T10:25:43.513</x:v>
      </x:c>
      <x:c r="H336" s="36" t="n">
        <x:v>2431.601</x:v>
      </x:c>
      <x:c r="I336" s="36" t="n">
        <x:f>H336/1000</x:f>
        <x:v>2.431601</x:v>
      </x:c>
      <x:c r="J336" s="21" t="str">
        <x:v>data2/qwen3_2.jsonl</x:v>
      </x:c>
      <x:c r="K336" s="21" t="n">
        <x:v>98</x:v>
      </x:c>
      <x:c r="L336" s="21" t="str">
        <x:v>processed精确文本</x:v>
      </x:c>
    </x:row>
    <x:row r="337">
      <x:c r="A337" s="38" t="n">
        <x:v>40</x:v>
      </x:c>
      <x:c r="B337" s="23" t="str">
        <x:v>帮我筛一下CBN-福州晋安-东浦新村4号楼C-HRHH-512小区，排除掉天线高度等于20米的情况，返回小区名称、天线高度和经度。</x:v>
      </x:c>
      <x:c r="C337" s="23" t="str">
        <x:v>查询CBN-福州晋安-东浦新村4号楼C-HRHH-512小区的工程参数，返回小区名称、天线高度和经度，排除天线高度等于20米的数据</x:v>
      </x:c>
      <x:c r="D337" s="23" t="str">
        <x:v>AICO总结</x:v>
      </x:c>
      <x:c r="E337" s="23" t="str">
        <x:v>无tool_calls</x:v>
      </x:c>
      <x:c r="F337" s="21" t="n">
        <x:v>1</x:v>
      </x:c>
      <x:c r="G337" s="21" t="str">
        <x:v>2026-08-12T10:25:46.208</x:v>
      </x:c>
      <x:c r="H337" s="36" t="n">
        <x:v>5851.175</x:v>
      </x:c>
      <x:c r="I337" s="36" t="n">
        <x:f>H337/1000</x:f>
        <x:v>5.8511750000000005</x:v>
      </x:c>
      <x:c r="J337" s="21" t="str">
        <x:v>data2/dsv4_2_aico.jsonl</x:v>
      </x:c>
      <x:c r="K337" s="21" t="n">
        <x:v>151</x:v>
      </x:c>
      <x:c r="L337" s="21" t="str">
        <x:v>original精确文本</x:v>
      </x:c>
    </x:row>
    <x:row r="338">
      <x:c r="A338" s="38" t="n">
        <x:v>40</x:v>
      </x:c>
      <x:c r="B338" s="23" t="str">
        <x:v>帮我筛一下CBN-福州晋安-东浦新村4号楼C-HRHH-512小区，排除掉天线高度等于20米的情况，返回小区名称、天线高度和经度。</x:v>
      </x:c>
      <x:c r="C338" s="23" t="str">
        <x:v>查询CBN-福州晋安-东浦新村4号楼C-HRHH-512小区的工程参数，返回小区名称、天线高度和经度，排除天线高度等于20米的数据</x:v>
      </x:c>
      <x:c r="D338" s="23" t="str">
        <x:v>问题推荐</x:v>
      </x:c>
      <x:c r="E338" s="23" t="str">
        <x:v>后续问题推荐</x:v>
      </x:c>
      <x:c r="F338" s="21" t="n">
        <x:v>1</x:v>
      </x:c>
      <x:c r="G338" s="21" t="str">
        <x:v>2026-08-12T10:25:52.344</x:v>
      </x:c>
      <x:c r="H338" s="36" t="n">
        <x:v>8484.467</x:v>
      </x:c>
      <x:c r="I338" s="36" t="n">
        <x:f>H338/1000</x:f>
        <x:v>8.484467</x:v>
      </x:c>
      <x:c r="J338" s="21" t="str">
        <x:v>data2/dsv4_2_recipe_ds.jsonl</x:v>
      </x:c>
      <x:c r="K338" s="21" t="n">
        <x:v>88</x:v>
      </x:c>
      <x:c r="L338" s="21" t="str">
        <x:v>original精确文本</x:v>
      </x:c>
    </x:row>
    <x:row r="339">
      <x:c r="A339" s="38" t="n">
        <x:v>41</x:v>
      </x:c>
      <x:c r="B339" s="23" t="str">
        <x:v>帮我查一下深圳奥特莱斯D-HRH-1小区的方位角和天线高度。</x:v>
      </x:c>
      <x:c r="C339" s="23" t="str">
        <x:v>查询深圳奥特莱斯D-HRH-1小区的方位角和天线高度</x:v>
      </x:c>
      <x:c r="D339" s="23" t="str">
        <x:v>AICO Tool Call - Skill</x:v>
      </x:c>
      <x:c r="E339" s="23" t="str">
        <x:v>Skill</x:v>
      </x:c>
      <x:c r="F339" s="21" t="n">
        <x:v>1</x:v>
      </x:c>
      <x:c r="G339" s="21" t="str">
        <x:v>2026-08-12T10:25:53.247</x:v>
      </x:c>
      <x:c r="H339" s="36" t="n">
        <x:v>7990.839</x:v>
      </x:c>
      <x:c r="I339" s="36" t="n">
        <x:f>H339/1000</x:f>
        <x:v>7.990839</x:v>
      </x:c>
      <x:c r="J339" s="21" t="str">
        <x:v>data2/dsv4_2_aico.jsonl</x:v>
      </x:c>
      <x:c r="K339" s="21" t="n">
        <x:v>152</x:v>
      </x:c>
      <x:c r="L339" s="21" t="str">
        <x:v>original精确文本</x:v>
      </x:c>
    </x:row>
    <x:row r="340">
      <x:c r="A340" s="38" t="n">
        <x:v>41</x:v>
      </x:c>
      <x:c r="B340" s="23" t="str">
        <x:v>帮我查一下深圳奥特莱斯D-HRH-1小区的方位角和天线高度。</x:v>
      </x:c>
      <x:c r="C340" s="23" t="str">
        <x:v>查询深圳奥特莱斯D-HRH-1小区的方位角和天线高度</x:v>
      </x:c>
      <x:c r="D340" s="23" t="str">
        <x:v>AICO Tool Call - Workflow</x:v>
      </x:c>
      <x:c r="E340" s="23" t="str">
        <x:v>Workflow</x:v>
      </x:c>
      <x:c r="F340" s="21" t="n">
        <x:v>1</x:v>
      </x:c>
      <x:c r="G340" s="21" t="str">
        <x:v>2026-08-12T10:26:01.391</x:v>
      </x:c>
      <x:c r="H340" s="36" t="n">
        <x:v>5072.02</x:v>
      </x:c>
      <x:c r="I340" s="36" t="n">
        <x:f>H340/1000</x:f>
        <x:v>5.07202</x:v>
      </x:c>
      <x:c r="J340" s="21" t="str">
        <x:v>data2/dsv4_2_aico.jsonl</x:v>
      </x:c>
      <x:c r="K340" s="21" t="n">
        <x:v>153</x:v>
      </x:c>
      <x:c r="L340" s="21" t="str">
        <x:v>original精确文本</x:v>
      </x:c>
    </x:row>
    <x:row r="341">
      <x:c r="A341" s="38" t="n">
        <x:v>41</x:v>
      </x:c>
      <x:c r="B341" s="23" t="str">
        <x:v>帮我查一下深圳奥特莱斯D-HRH-1小区的方位角和天线高度。</x:v>
      </x:c>
      <x:c r="C341" s="23" t="str">
        <x:v>查询深圳奥特莱斯D-HRH-1小区的方位角和天线高度</x:v>
      </x:c>
      <x:c r="D341" s="23" t="str">
        <x:v>Recipe - DeepSeek</x:v>
      </x:c>
      <x:c r="E341" s="23" t="str">
        <x:v>DeepSeek recipe调用</x:v>
      </x:c>
      <x:c r="F341" s="21" t="n">
        <x:v>1</x:v>
      </x:c>
      <x:c r="G341" s="21" t="str">
        <x:v>2026-08-12T10:26:07.798</x:v>
      </x:c>
      <x:c r="H341" s="36" t="n">
        <x:v>2922.909</x:v>
      </x:c>
      <x:c r="I341" s="36" t="n">
        <x:f>H341/1000</x:f>
        <x:v>2.922909</x:v>
      </x:c>
      <x:c r="J341" s="21" t="str">
        <x:v>data2/dsv4_2_recipe_ds.jsonl</x:v>
      </x:c>
      <x:c r="K341" s="21" t="n">
        <x:v>89</x:v>
      </x:c>
      <x:c r="L341" s="21" t="str">
        <x:v>processed精确文本</x:v>
      </x:c>
    </x:row>
    <x:row r="342">
      <x:c r="A342" s="38" t="n">
        <x:v>41</x:v>
      </x:c>
      <x:c r="B342" s="23" t="str">
        <x:v>帮我查一下深圳奥特莱斯D-HRH-1小区的方位角和天线高度。</x:v>
      </x:c>
      <x:c r="C342" s="23" t="str">
        <x:v>查询深圳奥特莱斯D-HRH-1小区的方位角和天线高度</x:v>
      </x:c>
      <x:c r="D342" s="23" t="str">
        <x:v>Recipe - Qwen执行</x:v>
      </x:c>
      <x:c r="E342" s="23" t="str">
        <x:v>同一问题第1次Qwen调用</x:v>
      </x:c>
      <x:c r="F342" s="21" t="n">
        <x:v>1</x:v>
      </x:c>
      <x:c r="G342" s="21" t="str">
        <x:v>2026-08-12T10:26:11.045</x:v>
      </x:c>
      <x:c r="H342" s="36" t="n">
        <x:v>1251.555</x:v>
      </x:c>
      <x:c r="I342" s="36" t="n">
        <x:f>H342/1000</x:f>
        <x:v>1.251555</x:v>
      </x:c>
      <x:c r="J342" s="21" t="str">
        <x:v>data2/qwen3_2.jsonl</x:v>
      </x:c>
      <x:c r="K342" s="21" t="n">
        <x:v>99</x:v>
      </x:c>
      <x:c r="L342" s="21" t="str">
        <x:v>processed精确文本</x:v>
      </x:c>
    </x:row>
    <x:row r="343">
      <x:c r="A343" s="38" t="n">
        <x:v>41</x:v>
      </x:c>
      <x:c r="B343" s="23" t="str">
        <x:v>帮我查一下深圳奥特莱斯D-HRH-1小区的方位角和天线高度。</x:v>
      </x:c>
      <x:c r="C343" s="23" t="str">
        <x:v>查询深圳奥特莱斯D-HRH-1小区的方位角和天线高度</x:v>
      </x:c>
      <x:c r="D343" s="23" t="str">
        <x:v>Recipe - Qwen总结</x:v>
      </x:c>
      <x:c r="E343" s="23" t="str">
        <x:v>同一问题最后一次Qwen调用</x:v>
      </x:c>
      <x:c r="F343" s="21" t="n">
        <x:v>1</x:v>
      </x:c>
      <x:c r="G343" s="21" t="str">
        <x:v>2026-08-12T10:26:12.800</x:v>
      </x:c>
      <x:c r="H343" s="36" t="n">
        <x:v>1355.746</x:v>
      </x:c>
      <x:c r="I343" s="36" t="n">
        <x:f>H343/1000</x:f>
        <x:v>1.3557460000000001</x:v>
      </x:c>
      <x:c r="J343" s="21" t="str">
        <x:v>data2/qwen3_2.jsonl</x:v>
      </x:c>
      <x:c r="K343" s="21" t="n">
        <x:v>100</x:v>
      </x:c>
      <x:c r="L343" s="21" t="str">
        <x:v>processed精确文本</x:v>
      </x:c>
    </x:row>
    <x:row r="344">
      <x:c r="A344" s="38" t="n">
        <x:v>41</x:v>
      </x:c>
      <x:c r="B344" s="23" t="str">
        <x:v>帮我查一下深圳奥特莱斯D-HRH-1小区的方位角和天线高度。</x:v>
      </x:c>
      <x:c r="C344" s="23" t="str">
        <x:v>查询深圳奥特莱斯D-HRH-1小区的方位角和天线高度</x:v>
      </x:c>
      <x:c r="D344" s="23" t="str">
        <x:v>AICO总结</x:v>
      </x:c>
      <x:c r="E344" s="23" t="str">
        <x:v>无tool_calls</x:v>
      </x:c>
      <x:c r="F344" s="21" t="n">
        <x:v>1</x:v>
      </x:c>
      <x:c r="G344" s="21" t="str">
        <x:v>2026-08-12T10:26:14.405</x:v>
      </x:c>
      <x:c r="H344" s="36" t="n">
        <x:v>4546.109</x:v>
      </x:c>
      <x:c r="I344" s="36" t="n">
        <x:f>H344/1000</x:f>
        <x:v>4.546109</x:v>
      </x:c>
      <x:c r="J344" s="21" t="str">
        <x:v>data2/dsv4_2_aico.jsonl</x:v>
      </x:c>
      <x:c r="K344" s="21" t="n">
        <x:v>154</x:v>
      </x:c>
      <x:c r="L344" s="21" t="str">
        <x:v>original精确文本</x:v>
      </x:c>
    </x:row>
    <x:row r="345">
      <x:c r="A345" s="38" t="n">
        <x:v>41</x:v>
      </x:c>
      <x:c r="B345" s="23" t="str">
        <x:v>帮我查一下深圳奥特莱斯D-HRH-1小区的方位角和天线高度。</x:v>
      </x:c>
      <x:c r="C345" s="23" t="str">
        <x:v>查询深圳奥特莱斯D-HRH-1小区的方位角和天线高度</x:v>
      </x:c>
      <x:c r="D345" s="23" t="str">
        <x:v>问题推荐</x:v>
      </x:c>
      <x:c r="E345" s="23" t="str">
        <x:v>后续问题推荐</x:v>
      </x:c>
      <x:c r="F345" s="21" t="n">
        <x:v>1</x:v>
      </x:c>
      <x:c r="G345" s="21" t="str">
        <x:v>2026-08-12T10:26:19.265</x:v>
      </x:c>
      <x:c r="H345" s="36" t="n">
        <x:v>5036.05</x:v>
      </x:c>
      <x:c r="I345" s="36" t="n">
        <x:f>H345/1000</x:f>
        <x:v>5.03605</x:v>
      </x:c>
      <x:c r="J345" s="21" t="str">
        <x:v>data2/dsv4_2_recipe_ds.jsonl</x:v>
      </x:c>
      <x:c r="K345" s="21" t="n">
        <x:v>90</x:v>
      </x:c>
      <x:c r="L345" s="21" t="str">
        <x:v>original精确文本</x:v>
      </x:c>
    </x:row>
    <x:row r="346">
      <x:c r="A346" s="38" t="n">
        <x:v>42</x:v>
      </x:c>
      <x:c r="B346" s="23" t="str">
        <x:v>看一下CBN-深圳梅沙湾二U-H5H站点下的小区名称和经度。</x:v>
      </x:c>
      <x:c r="C346" s="23" t="str">
        <x:v>查询站点CBN-深圳梅沙湾二U-H5H下的小区名称和经度</x:v>
      </x:c>
      <x:c r="D346" s="23" t="str">
        <x:v>AICO Tool Call - Skill</x:v>
      </x:c>
      <x:c r="E346" s="23" t="str">
        <x:v>Skill</x:v>
      </x:c>
      <x:c r="F346" s="21" t="n">
        <x:v>1</x:v>
      </x:c>
      <x:c r="G346" s="21" t="str">
        <x:v>2026-08-12T10:26:20.109</x:v>
      </x:c>
      <x:c r="H346" s="36" t="n">
        <x:v>5533.898</x:v>
      </x:c>
      <x:c r="I346" s="36" t="n">
        <x:f>H346/1000</x:f>
        <x:v>5.533898</x:v>
      </x:c>
      <x:c r="J346" s="21" t="str">
        <x:v>data2/dsv4_2_aico.jsonl</x:v>
      </x:c>
      <x:c r="K346" s="21" t="n">
        <x:v>155</x:v>
      </x:c>
      <x:c r="L346" s="21" t="str">
        <x:v>original精确文本</x:v>
      </x:c>
    </x:row>
    <x:row r="347">
      <x:c r="A347" s="38" t="n">
        <x:v>42</x:v>
      </x:c>
      <x:c r="B347" s="23" t="str">
        <x:v>看一下CBN-深圳梅沙湾二U-H5H站点下的小区名称和经度。</x:v>
      </x:c>
      <x:c r="C347" s="23" t="str">
        <x:v>查询站点CBN-深圳梅沙湾二U-H5H下的小区名称和经度</x:v>
      </x:c>
      <x:c r="D347" s="23" t="str">
        <x:v>AICO Tool Call - Workflow</x:v>
      </x:c>
      <x:c r="E347" s="23" t="str">
        <x:v>Workflow</x:v>
      </x:c>
      <x:c r="F347" s="21" t="n">
        <x:v>1</x:v>
      </x:c>
      <x:c r="G347" s="21" t="str">
        <x:v>2026-08-12T10:26:25.805</x:v>
      </x:c>
      <x:c r="H347" s="36" t="n">
        <x:v>5122.132</x:v>
      </x:c>
      <x:c r="I347" s="36" t="n">
        <x:f>H347/1000</x:f>
        <x:v>5.122132</x:v>
      </x:c>
      <x:c r="J347" s="21" t="str">
        <x:v>data2/dsv4_2_aico.jsonl</x:v>
      </x:c>
      <x:c r="K347" s="21" t="n">
        <x:v>156</x:v>
      </x:c>
      <x:c r="L347" s="21" t="str">
        <x:v>original精确文本</x:v>
      </x:c>
    </x:row>
    <x:row r="348">
      <x:c r="A348" s="38" t="n">
        <x:v>42</x:v>
      </x:c>
      <x:c r="B348" s="23" t="str">
        <x:v>看一下CBN-深圳梅沙湾二U-H5H站点下的小区名称和经度。</x:v>
      </x:c>
      <x:c r="C348" s="23" t="str">
        <x:v>查询站点CBN-深圳梅沙湾二U-H5H下的小区名称和经度</x:v>
      </x:c>
      <x:c r="D348" s="23" t="str">
        <x:v>Recipe - DeepSeek</x:v>
      </x:c>
      <x:c r="E348" s="23" t="str">
        <x:v>DeepSeek recipe调用</x:v>
      </x:c>
      <x:c r="F348" s="21" t="n">
        <x:v>1</x:v>
      </x:c>
      <x:c r="G348" s="21" t="str">
        <x:v>2026-08-12T10:26:32.312</x:v>
      </x:c>
      <x:c r="H348" s="36" t="n">
        <x:v>3217.071</x:v>
      </x:c>
      <x:c r="I348" s="36" t="n">
        <x:f>H348/1000</x:f>
        <x:v>3.217071</x:v>
      </x:c>
      <x:c r="J348" s="21" t="str">
        <x:v>data2/dsv4_2_recipe_ds.jsonl</x:v>
      </x:c>
      <x:c r="K348" s="21" t="n">
        <x:v>91</x:v>
      </x:c>
      <x:c r="L348" s="21" t="str">
        <x:v>processed精确文本</x:v>
      </x:c>
    </x:row>
    <x:row r="349">
      <x:c r="A349" s="38" t="n">
        <x:v>42</x:v>
      </x:c>
      <x:c r="B349" s="23" t="str">
        <x:v>看一下CBN-深圳梅沙湾二U-H5H站点下的小区名称和经度。</x:v>
      </x:c>
      <x:c r="C349" s="23" t="str">
        <x:v>查询站点CBN-深圳梅沙湾二U-H5H下的小区名称和经度</x:v>
      </x:c>
      <x:c r="D349" s="23" t="str">
        <x:v>Recipe - Qwen执行</x:v>
      </x:c>
      <x:c r="E349" s="23" t="str">
        <x:v>同一问题第1次Qwen调用</x:v>
      </x:c>
      <x:c r="F349" s="21" t="n">
        <x:v>1</x:v>
      </x:c>
      <x:c r="G349" s="21" t="str">
        <x:v>2026-08-12T10:26:35.871</x:v>
      </x:c>
      <x:c r="H349" s="36" t="n">
        <x:v>1245.176</x:v>
      </x:c>
      <x:c r="I349" s="36" t="n">
        <x:f>H349/1000</x:f>
        <x:v>1.2451759999999998</x:v>
      </x:c>
      <x:c r="J349" s="21" t="str">
        <x:v>data2/qwen3_2.jsonl</x:v>
      </x:c>
      <x:c r="K349" s="21" t="n">
        <x:v>101</x:v>
      </x:c>
      <x:c r="L349" s="21" t="str">
        <x:v>processed精确文本</x:v>
      </x:c>
    </x:row>
    <x:row r="350">
      <x:c r="A350" s="38" t="n">
        <x:v>42</x:v>
      </x:c>
      <x:c r="B350" s="23" t="str">
        <x:v>看一下CBN-深圳梅沙湾二U-H5H站点下的小区名称和经度。</x:v>
      </x:c>
      <x:c r="C350" s="23" t="str">
        <x:v>查询站点CBN-深圳梅沙湾二U-H5H下的小区名称和经度</x:v>
      </x:c>
      <x:c r="D350" s="23" t="str">
        <x:v>Recipe - Qwen总结</x:v>
      </x:c>
      <x:c r="E350" s="23" t="str">
        <x:v>同一问题最后一次Qwen调用</x:v>
      </x:c>
      <x:c r="F350" s="21" t="n">
        <x:v>1</x:v>
      </x:c>
      <x:c r="G350" s="21" t="str">
        <x:v>2026-08-12T10:26:37.604</x:v>
      </x:c>
      <x:c r="H350" s="36" t="n">
        <x:v>2012.136</x:v>
      </x:c>
      <x:c r="I350" s="36" t="n">
        <x:f>H350/1000</x:f>
        <x:v>2.012136</x:v>
      </x:c>
      <x:c r="J350" s="21" t="str">
        <x:v>data2/qwen3_2.jsonl</x:v>
      </x:c>
      <x:c r="K350" s="21" t="n">
        <x:v>102</x:v>
      </x:c>
      <x:c r="L350" s="21" t="str">
        <x:v>processed精确文本</x:v>
      </x:c>
    </x:row>
    <x:row r="351">
      <x:c r="A351" s="38" t="n">
        <x:v>42</x:v>
      </x:c>
      <x:c r="B351" s="23" t="str">
        <x:v>看一下CBN-深圳梅沙湾二U-H5H站点下的小区名称和经度。</x:v>
      </x:c>
      <x:c r="C351" s="23" t="str">
        <x:v>查询站点CBN-深圳梅沙湾二U-H5H下的小区名称和经度</x:v>
      </x:c>
      <x:c r="D351" s="23" t="str">
        <x:v>AICO总结</x:v>
      </x:c>
      <x:c r="E351" s="23" t="str">
        <x:v>无tool_calls</x:v>
      </x:c>
      <x:c r="F351" s="21" t="n">
        <x:v>1</x:v>
      </x:c>
      <x:c r="G351" s="21" t="str">
        <x:v>2026-08-12T10:26:39.875</x:v>
      </x:c>
      <x:c r="H351" s="36" t="n">
        <x:v>8052.091</x:v>
      </x:c>
      <x:c r="I351" s="36" t="n">
        <x:f>H351/1000</x:f>
        <x:v>8.052091</x:v>
      </x:c>
      <x:c r="J351" s="21" t="str">
        <x:v>data2/dsv4_2_aico.jsonl</x:v>
      </x:c>
      <x:c r="K351" s="21" t="n">
        <x:v>157</x:v>
      </x:c>
      <x:c r="L351" s="21" t="str">
        <x:v>original精确文本</x:v>
      </x:c>
    </x:row>
    <x:row r="352">
      <x:c r="A352" s="38" t="n">
        <x:v>42</x:v>
      </x:c>
      <x:c r="B352" s="23" t="str">
        <x:v>看一下CBN-深圳梅沙湾二U-H5H站点下的小区名称和经度。</x:v>
      </x:c>
      <x:c r="C352" s="23" t="str">
        <x:v>查询站点CBN-深圳梅沙湾二U-H5H下的小区名称和经度</x:v>
      </x:c>
      <x:c r="D352" s="23" t="str">
        <x:v>问题推荐</x:v>
      </x:c>
      <x:c r="E352" s="23" t="str">
        <x:v>后续问题推荐</x:v>
      </x:c>
      <x:c r="F352" s="21" t="n">
        <x:v>1</x:v>
      </x:c>
      <x:c r="G352" s="21" t="str">
        <x:v>2026-08-12T10:26:48.191</x:v>
      </x:c>
      <x:c r="H352" s="36" t="n">
        <x:v>4902.161</x:v>
      </x:c>
      <x:c r="I352" s="36" t="n">
        <x:f>H352/1000</x:f>
        <x:v>4.902161</x:v>
      </x:c>
      <x:c r="J352" s="21" t="str">
        <x:v>data2/dsv4_2_recipe_ds.jsonl</x:v>
      </x:c>
      <x:c r="K352" s="21" t="n">
        <x:v>92</x:v>
      </x:c>
      <x:c r="L352" s="21" t="str">
        <x:v>original精确文本</x:v>
      </x:c>
    </x:row>
    <x:row r="353">
      <x:c r="A353" s="38" t="n">
        <x:v>43</x:v>
      </x:c>
      <x:c r="B353" s="23" t="str">
        <x:v>确认一下CBN-福州晋安-东浦新村4号楼C-HRHH-513这个小区的电子下倾角和基站标识是多少。</x:v>
      </x:c>
      <x:c r="C353" s="23" t="str">
        <x:v>查询小区CBN-福州晋安-东浦新村4号楼C-HRHH-513的电子下倾角和基站标识</x:v>
      </x:c>
      <x:c r="D353" s="23" t="str">
        <x:v>AICO Tool Call - Skill</x:v>
      </x:c>
      <x:c r="E353" s="23" t="str">
        <x:v>Skill</x:v>
      </x:c>
      <x:c r="F353" s="21" t="n">
        <x:v>1</x:v>
      </x:c>
      <x:c r="G353" s="21" t="str">
        <x:v>2026-08-12T10:26:49.102</x:v>
      </x:c>
      <x:c r="H353" s="36" t="n">
        <x:v>5505.762</x:v>
      </x:c>
      <x:c r="I353" s="36" t="n">
        <x:f>H353/1000</x:f>
        <x:v>5.505762</x:v>
      </x:c>
      <x:c r="J353" s="21" t="str">
        <x:v>data2/dsv4_2_aico.jsonl</x:v>
      </x:c>
      <x:c r="K353" s="21" t="n">
        <x:v>158</x:v>
      </x:c>
      <x:c r="L353" s="21" t="str">
        <x:v>original精确文本</x:v>
      </x:c>
    </x:row>
    <x:row r="354">
      <x:c r="A354" s="38" t="n">
        <x:v>43</x:v>
      </x:c>
      <x:c r="B354" s="23" t="str">
        <x:v>确认一下CBN-福州晋安-东浦新村4号楼C-HRHH-513这个小区的电子下倾角和基站标识是多少。</x:v>
      </x:c>
      <x:c r="C354" s="23" t="str">
        <x:v>查询小区CBN-福州晋安-东浦新村4号楼C-HRHH-513的电子下倾角和基站标识</x:v>
      </x:c>
      <x:c r="D354" s="23" t="str">
        <x:v>AICO Tool Call - Workflow</x:v>
      </x:c>
      <x:c r="E354" s="23" t="str">
        <x:v>Workflow</x:v>
      </x:c>
      <x:c r="F354" s="21" t="n">
        <x:v>1</x:v>
      </x:c>
      <x:c r="G354" s="21" t="str">
        <x:v>2026-08-12T10:26:54.762</x:v>
      </x:c>
      <x:c r="H354" s="36" t="n">
        <x:v>5344.793</x:v>
      </x:c>
      <x:c r="I354" s="36" t="n">
        <x:f>H354/1000</x:f>
        <x:v>5.344792999999999</x:v>
      </x:c>
      <x:c r="J354" s="21" t="str">
        <x:v>data2/dsv4_2_aico.jsonl</x:v>
      </x:c>
      <x:c r="K354" s="21" t="n">
        <x:v>159</x:v>
      </x:c>
      <x:c r="L354" s="21" t="str">
        <x:v>original精确文本</x:v>
      </x:c>
    </x:row>
    <x:row r="355">
      <x:c r="A355" s="38" t="n">
        <x:v>43</x:v>
      </x:c>
      <x:c r="B355" s="23" t="str">
        <x:v>确认一下CBN-福州晋安-东浦新村4号楼C-HRHH-513这个小区的电子下倾角和基站标识是多少。</x:v>
      </x:c>
      <x:c r="C355" s="23" t="str">
        <x:v>查询小区CBN-福州晋安-东浦新村4号楼C-HRHH-513的电子下倾角和基站标识</x:v>
      </x:c>
      <x:c r="D355" s="23" t="str">
        <x:v>Recipe - DeepSeek</x:v>
      </x:c>
      <x:c r="E355" s="23" t="str">
        <x:v>DeepSeek recipe调用</x:v>
      </x:c>
      <x:c r="F355" s="21" t="n">
        <x:v>1</x:v>
      </x:c>
      <x:c r="G355" s="21" t="str">
        <x:v>2026-08-12T10:27:01.456</x:v>
      </x:c>
      <x:c r="H355" s="36" t="n">
        <x:v>3257.912</x:v>
      </x:c>
      <x:c r="I355" s="36" t="n">
        <x:f>H355/1000</x:f>
        <x:v>3.2579119999999997</x:v>
      </x:c>
      <x:c r="J355" s="21" t="str">
        <x:v>data2/dsv4_2_recipe_ds.jsonl</x:v>
      </x:c>
      <x:c r="K355" s="21" t="n">
        <x:v>93</x:v>
      </x:c>
      <x:c r="L355" s="21" t="str">
        <x:v>processed精确文本</x:v>
      </x:c>
    </x:row>
    <x:row r="356">
      <x:c r="A356" s="38" t="n">
        <x:v>43</x:v>
      </x:c>
      <x:c r="B356" s="23" t="str">
        <x:v>确认一下CBN-福州晋安-东浦新村4号楼C-HRHH-513这个小区的电子下倾角和基站标识是多少。</x:v>
      </x:c>
      <x:c r="C356" s="23" t="str">
        <x:v>查询小区CBN-福州晋安-东浦新村4号楼C-HRHH-513的电子下倾角和基站标识</x:v>
      </x:c>
      <x:c r="D356" s="23" t="str">
        <x:v>Recipe - Qwen执行</x:v>
      </x:c>
      <x:c r="E356" s="23" t="str">
        <x:v>同一问题第1次Qwen调用</x:v>
      </x:c>
      <x:c r="F356" s="21" t="n">
        <x:v>1</x:v>
      </x:c>
      <x:c r="G356" s="21" t="str">
        <x:v>2026-08-12T10:27:05.058</x:v>
      </x:c>
      <x:c r="H356" s="36" t="n">
        <x:v>1266.396</x:v>
      </x:c>
      <x:c r="I356" s="36" t="n">
        <x:f>H356/1000</x:f>
        <x:v>1.2663959999999999</x:v>
      </x:c>
      <x:c r="J356" s="21" t="str">
        <x:v>data2/qwen3_2.jsonl</x:v>
      </x:c>
      <x:c r="K356" s="21" t="n">
        <x:v>103</x:v>
      </x:c>
      <x:c r="L356" s="21" t="str">
        <x:v>processed精确文本</x:v>
      </x:c>
    </x:row>
    <x:row r="357">
      <x:c r="A357" s="38" t="n">
        <x:v>43</x:v>
      </x:c>
      <x:c r="B357" s="23" t="str">
        <x:v>确认一下CBN-福州晋安-东浦新村4号楼C-HRHH-513这个小区的电子下倾角和基站标识是多少。</x:v>
      </x:c>
      <x:c r="C357" s="23" t="str">
        <x:v>查询小区CBN-福州晋安-东浦新村4号楼C-HRHH-513的电子下倾角和基站标识</x:v>
      </x:c>
      <x:c r="D357" s="23" t="str">
        <x:v>Recipe - Qwen总结</x:v>
      </x:c>
      <x:c r="E357" s="23" t="str">
        <x:v>同一问题最后一次Qwen调用</x:v>
      </x:c>
      <x:c r="F357" s="21" t="n">
        <x:v>1</x:v>
      </x:c>
      <x:c r="G357" s="21" t="str">
        <x:v>2026-08-12T10:27:06.817</x:v>
      </x:c>
      <x:c r="H357" s="36" t="n">
        <x:v>1608.676</x:v>
      </x:c>
      <x:c r="I357" s="36" t="n">
        <x:f>H357/1000</x:f>
        <x:v>1.608676</x:v>
      </x:c>
      <x:c r="J357" s="21" t="str">
        <x:v>data2/qwen3_2.jsonl</x:v>
      </x:c>
      <x:c r="K357" s="21" t="n">
        <x:v>104</x:v>
      </x:c>
      <x:c r="L357" s="21" t="str">
        <x:v>processed精确文本</x:v>
      </x:c>
    </x:row>
    <x:row r="358">
      <x:c r="A358" s="38" t="n">
        <x:v>43</x:v>
      </x:c>
      <x:c r="B358" s="23" t="str">
        <x:v>确认一下CBN-福州晋安-东浦新村4号楼C-HRHH-513这个小区的电子下倾角和基站标识是多少。</x:v>
      </x:c>
      <x:c r="C358" s="23" t="str">
        <x:v>查询小区CBN-福州晋安-东浦新村4号楼C-HRHH-513的电子下倾角和基站标识</x:v>
      </x:c>
      <x:c r="D358" s="23" t="str">
        <x:v>AICO总结</x:v>
      </x:c>
      <x:c r="E358" s="23" t="str">
        <x:v>无tool_calls</x:v>
      </x:c>
      <x:c r="F358" s="21" t="n">
        <x:v>1</x:v>
      </x:c>
      <x:c r="G358" s="21" t="str">
        <x:v>2026-08-12T10:27:08.691</x:v>
      </x:c>
      <x:c r="H358" s="36" t="n">
        <x:v>4247.021</x:v>
      </x:c>
      <x:c r="I358" s="36" t="n">
        <x:f>H358/1000</x:f>
        <x:v>4.247021</x:v>
      </x:c>
      <x:c r="J358" s="21" t="str">
        <x:v>data2/dsv4_2_aico.jsonl</x:v>
      </x:c>
      <x:c r="K358" s="21" t="n">
        <x:v>160</x:v>
      </x:c>
      <x:c r="L358" s="21" t="str">
        <x:v>original精确文本</x:v>
      </x:c>
    </x:row>
    <x:row r="359">
      <x:c r="A359" s="38" t="n">
        <x:v>43</x:v>
      </x:c>
      <x:c r="B359" s="23" t="str">
        <x:v>确认一下CBN-福州晋安-东浦新村4号楼C-HRHH-513这个小区的电子下倾角和基站标识是多少。</x:v>
      </x:c>
      <x:c r="C359" s="23" t="str">
        <x:v>查询小区CBN-福州晋安-东浦新村4号楼C-HRHH-513的电子下倾角和基站标识</x:v>
      </x:c>
      <x:c r="D359" s="23" t="str">
        <x:v>问题推荐</x:v>
      </x:c>
      <x:c r="E359" s="23" t="str">
        <x:v>后续问题推荐</x:v>
      </x:c>
      <x:c r="F359" s="21" t="n">
        <x:v>1</x:v>
      </x:c>
      <x:c r="G359" s="21" t="str">
        <x:v>2026-08-12T10:27:13.263</x:v>
      </x:c>
      <x:c r="H359" s="36" t="n">
        <x:v>5060.913</x:v>
      </x:c>
      <x:c r="I359" s="36" t="n">
        <x:f>H359/1000</x:f>
        <x:v>5.060912999999999</x:v>
      </x:c>
      <x:c r="J359" s="21" t="str">
        <x:v>data2/dsv4_2_recipe_ds.jsonl</x:v>
      </x:c>
      <x:c r="K359" s="21" t="n">
        <x:v>94</x:v>
      </x:c>
      <x:c r="L359" s="21" t="str">
        <x:v>original精确文本</x:v>
      </x:c>
    </x:row>
    <x:row r="360">
      <x:c r="A360" s="38" t="n">
        <x:v>44</x:v>
      </x:c>
      <x:c r="B360" s="23" t="str">
        <x:v>找出深圳大梅沙D-HRH-1小区的CGI和站点名称。</x:v>
      </x:c>
      <x:c r="C360" s="23" t="str">
        <x:v>查询深圳大梅沙D-HRH-1小区的CGI和站点名称</x:v>
      </x:c>
      <x:c r="D360" s="23" t="str">
        <x:v>AICO Tool Call - Skill</x:v>
      </x:c>
      <x:c r="E360" s="23" t="str">
        <x:v>Skill</x:v>
      </x:c>
      <x:c r="F360" s="21" t="n">
        <x:v>1</x:v>
      </x:c>
      <x:c r="G360" s="21" t="str">
        <x:v>2026-08-12T10:27:14.160</x:v>
      </x:c>
      <x:c r="H360" s="36" t="n">
        <x:v>5182.55</x:v>
      </x:c>
      <x:c r="I360" s="36" t="n">
        <x:f>H360/1000</x:f>
        <x:v>5.18255</x:v>
      </x:c>
      <x:c r="J360" s="21" t="str">
        <x:v>data2/dsv4_2_aico.jsonl</x:v>
      </x:c>
      <x:c r="K360" s="21" t="n">
        <x:v>161</x:v>
      </x:c>
      <x:c r="L360" s="21" t="str">
        <x:v>original精确文本</x:v>
      </x:c>
    </x:row>
    <x:row r="361">
      <x:c r="A361" s="38" t="n">
        <x:v>44</x:v>
      </x:c>
      <x:c r="B361" s="23" t="str">
        <x:v>找出深圳大梅沙D-HRH-1小区的CGI和站点名称。</x:v>
      </x:c>
      <x:c r="C361" s="23" t="str">
        <x:v>查询深圳大梅沙D-HRH-1小区的CGI和站点名称</x:v>
      </x:c>
      <x:c r="D361" s="23" t="str">
        <x:v>AICO Tool Call - Workflow</x:v>
      </x:c>
      <x:c r="E361" s="23" t="str">
        <x:v>Workflow</x:v>
      </x:c>
      <x:c r="F361" s="21" t="n">
        <x:v>1</x:v>
      </x:c>
      <x:c r="G361" s="21" t="str">
        <x:v>2026-08-12T10:27:19.491</x:v>
      </x:c>
      <x:c r="H361" s="36" t="n">
        <x:v>7638.049</x:v>
      </x:c>
      <x:c r="I361" s="36" t="n">
        <x:f>H361/1000</x:f>
        <x:v>7.638049</x:v>
      </x:c>
      <x:c r="J361" s="21" t="str">
        <x:v>data2/dsv4_2_aico.jsonl</x:v>
      </x:c>
      <x:c r="K361" s="21" t="n">
        <x:v>162</x:v>
      </x:c>
      <x:c r="L361" s="21" t="str">
        <x:v>original精确文本</x:v>
      </x:c>
    </x:row>
    <x:row r="362">
      <x:c r="A362" s="38" t="n">
        <x:v>44</x:v>
      </x:c>
      <x:c r="B362" s="23" t="str">
        <x:v>找出深圳大梅沙D-HRH-1小区的CGI和站点名称。</x:v>
      </x:c>
      <x:c r="C362" s="23" t="str">
        <x:v>查询深圳大梅沙D-HRH-1小区的CGI和站点名称</x:v>
      </x:c>
      <x:c r="D362" s="23" t="str">
        <x:v>Recipe - DeepSeek</x:v>
      </x:c>
      <x:c r="E362" s="23" t="str">
        <x:v>DeepSeek recipe调用</x:v>
      </x:c>
      <x:c r="F362" s="21" t="n">
        <x:v>1</x:v>
      </x:c>
      <x:c r="G362" s="21" t="str">
        <x:v>2026-08-12T10:27:28.252</x:v>
      </x:c>
      <x:c r="H362" s="36" t="n">
        <x:v>3014.788</x:v>
      </x:c>
      <x:c r="I362" s="36" t="n">
        <x:f>H362/1000</x:f>
        <x:v>3.014788</x:v>
      </x:c>
      <x:c r="J362" s="21" t="str">
        <x:v>data2/dsv4_2_recipe_ds.jsonl</x:v>
      </x:c>
      <x:c r="K362" s="21" t="n">
        <x:v>95</x:v>
      </x:c>
      <x:c r="L362" s="21" t="str">
        <x:v>processed精确文本</x:v>
      </x:c>
    </x:row>
    <x:row r="363">
      <x:c r="A363" s="38" t="n">
        <x:v>44</x:v>
      </x:c>
      <x:c r="B363" s="23" t="str">
        <x:v>找出深圳大梅沙D-HRH-1小区的CGI和站点名称。</x:v>
      </x:c>
      <x:c r="C363" s="23" t="str">
        <x:v>查询深圳大梅沙D-HRH-1小区的CGI和站点名称</x:v>
      </x:c>
      <x:c r="D363" s="23" t="str">
        <x:v>Recipe - Qwen执行</x:v>
      </x:c>
      <x:c r="E363" s="23" t="str">
        <x:v>同一问题第1次Qwen调用</x:v>
      </x:c>
      <x:c r="F363" s="21" t="n">
        <x:v>1</x:v>
      </x:c>
      <x:c r="G363" s="21" t="str">
        <x:v>2026-08-12T10:27:31.579</x:v>
      </x:c>
      <x:c r="H363" s="36" t="n">
        <x:v>1221.708</x:v>
      </x:c>
      <x:c r="I363" s="36" t="n">
        <x:f>H363/1000</x:f>
        <x:v>1.221708</x:v>
      </x:c>
      <x:c r="J363" s="21" t="str">
        <x:v>data2/qwen3_2.jsonl</x:v>
      </x:c>
      <x:c r="K363" s="21" t="n">
        <x:v>105</x:v>
      </x:c>
      <x:c r="L363" s="21" t="str">
        <x:v>processed精确文本</x:v>
      </x:c>
    </x:row>
    <x:row r="364">
      <x:c r="A364" s="38" t="n">
        <x:v>44</x:v>
      </x:c>
      <x:c r="B364" s="23" t="str">
        <x:v>找出深圳大梅沙D-HRH-1小区的CGI和站点名称。</x:v>
      </x:c>
      <x:c r="C364" s="23" t="str">
        <x:v>查询深圳大梅沙D-HRH-1小区的CGI和站点名称</x:v>
      </x:c>
      <x:c r="D364" s="23" t="str">
        <x:v>Recipe - Qwen总结</x:v>
      </x:c>
      <x:c r="E364" s="23" t="str">
        <x:v>同一问题最后一次Qwen调用</x:v>
      </x:c>
      <x:c r="F364" s="21" t="n">
        <x:v>1</x:v>
      </x:c>
      <x:c r="G364" s="21" t="str">
        <x:v>2026-08-12T10:27:33.311</x:v>
      </x:c>
      <x:c r="H364" s="36" t="n">
        <x:v>1456.304</x:v>
      </x:c>
      <x:c r="I364" s="36" t="n">
        <x:f>H364/1000</x:f>
        <x:v>1.456304</x:v>
      </x:c>
      <x:c r="J364" s="21" t="str">
        <x:v>data2/qwen3_2.jsonl</x:v>
      </x:c>
      <x:c r="K364" s="21" t="n">
        <x:v>106</x:v>
      </x:c>
      <x:c r="L364" s="21" t="str">
        <x:v>processed精确文本</x:v>
      </x:c>
    </x:row>
    <x:row r="365">
      <x:c r="A365" s="38" t="n">
        <x:v>44</x:v>
      </x:c>
      <x:c r="B365" s="23" t="str">
        <x:v>找出深圳大梅沙D-HRH-1小区的CGI和站点名称。</x:v>
      </x:c>
      <x:c r="C365" s="23" t="str">
        <x:v>查询深圳大梅沙D-HRH-1小区的CGI和站点名称</x:v>
      </x:c>
      <x:c r="D365" s="23" t="str">
        <x:v>AICO总结</x:v>
      </x:c>
      <x:c r="E365" s="23" t="str">
        <x:v>无tool_calls</x:v>
      </x:c>
      <x:c r="F365" s="21" t="n">
        <x:v>1</x:v>
      </x:c>
      <x:c r="G365" s="21" t="str">
        <x:v>2026-08-12T10:27:35.031</x:v>
      </x:c>
      <x:c r="H365" s="36" t="n">
        <x:v>4387.918</x:v>
      </x:c>
      <x:c r="I365" s="36" t="n">
        <x:f>H365/1000</x:f>
        <x:v>4.387918</x:v>
      </x:c>
      <x:c r="J365" s="21" t="str">
        <x:v>data2/dsv4_2_aico.jsonl</x:v>
      </x:c>
      <x:c r="K365" s="21" t="n">
        <x:v>163</x:v>
      </x:c>
      <x:c r="L365" s="21" t="str">
        <x:v>original精确文本</x:v>
      </x:c>
    </x:row>
    <x:row r="366">
      <x:c r="A366" s="38" t="n">
        <x:v>44</x:v>
      </x:c>
      <x:c r="B366" s="23" t="str">
        <x:v>找出深圳大梅沙D-HRH-1小区的CGI和站点名称。</x:v>
      </x:c>
      <x:c r="C366" s="23" t="str">
        <x:v>查询深圳大梅沙D-HRH-1小区的CGI和站点名称</x:v>
      </x:c>
      <x:c r="D366" s="23" t="str">
        <x:v>问题推荐</x:v>
      </x:c>
      <x:c r="E366" s="23" t="str">
        <x:v>后续问题推荐</x:v>
      </x:c>
      <x:c r="F366" s="21" t="n">
        <x:v>1</x:v>
      </x:c>
      <x:c r="G366" s="21" t="str">
        <x:v>2026-08-12T10:27:39.687</x:v>
      </x:c>
      <x:c r="H366" s="36" t="n">
        <x:v>4948.71</x:v>
      </x:c>
      <x:c r="I366" s="36" t="n">
        <x:f>H366/1000</x:f>
        <x:v>4.94871</x:v>
      </x:c>
      <x:c r="J366" s="21" t="str">
        <x:v>data2/dsv4_2_recipe_ds.jsonl</x:v>
      </x:c>
      <x:c r="K366" s="21" t="n">
        <x:v>96</x:v>
      </x:c>
      <x:c r="L366" s="21" t="str">
        <x:v>original精确文本</x:v>
      </x:c>
    </x:row>
    <x:row r="367">
      <x:c r="A367" s="38" t="n">
        <x:v>45</x:v>
      </x:c>
      <x:c r="B367" s="23" t="str">
        <x:v>帮我查一下深圳东华风车D-HRH站点下小区的方位角和移动网号。</x:v>
      </x:c>
      <x:c r="C367" s="23" t="str">
        <x:v>查询深圳东华风车D-HRH站点下小区的方位角和移动网号</x:v>
      </x:c>
      <x:c r="D367" s="23" t="str">
        <x:v>AICO Tool Call - Skill</x:v>
      </x:c>
      <x:c r="E367" s="23" t="str">
        <x:v>Skill</x:v>
      </x:c>
      <x:c r="F367" s="21" t="n">
        <x:v>1</x:v>
      </x:c>
      <x:c r="G367" s="21" t="str">
        <x:v>2026-08-12T10:27:40.572</x:v>
      </x:c>
      <x:c r="H367" s="36" t="n">
        <x:v>5418.058</x:v>
      </x:c>
      <x:c r="I367" s="36" t="n">
        <x:f>H367/1000</x:f>
        <x:v>5.418058</x:v>
      </x:c>
      <x:c r="J367" s="21" t="str">
        <x:v>data2/dsv4_2_aico.jsonl</x:v>
      </x:c>
      <x:c r="K367" s="21" t="n">
        <x:v>164</x:v>
      </x:c>
      <x:c r="L367" s="21" t="str">
        <x:v>original精确文本</x:v>
      </x:c>
    </x:row>
    <x:row r="368">
      <x:c r="A368" s="38" t="n">
        <x:v>45</x:v>
      </x:c>
      <x:c r="B368" s="23" t="str">
        <x:v>帮我查一下深圳东华风车D-HRH站点下小区的方位角和移动网号。</x:v>
      </x:c>
      <x:c r="C368" s="23" t="str">
        <x:v>查询深圳东华风车D-HRH站点下小区的方位角和移动网号</x:v>
      </x:c>
      <x:c r="D368" s="23" t="str">
        <x:v>AICO Tool Call - Workflow</x:v>
      </x:c>
      <x:c r="E368" s="23" t="str">
        <x:v>Workflow</x:v>
      </x:c>
      <x:c r="F368" s="21" t="n">
        <x:v>1</x:v>
      </x:c>
      <x:c r="G368" s="21" t="str">
        <x:v>2026-08-12T10:27:46.144</x:v>
      </x:c>
      <x:c r="H368" s="36" t="n">
        <x:v>5231.274</x:v>
      </x:c>
      <x:c r="I368" s="36" t="n">
        <x:f>H368/1000</x:f>
        <x:v>5.231274</x:v>
      </x:c>
      <x:c r="J368" s="21" t="str">
        <x:v>data2/dsv4_2_aico.jsonl</x:v>
      </x:c>
      <x:c r="K368" s="21" t="n">
        <x:v>165</x:v>
      </x:c>
      <x:c r="L368" s="21" t="str">
        <x:v>original精确文本</x:v>
      </x:c>
    </x:row>
    <x:row r="369">
      <x:c r="A369" s="38" t="n">
        <x:v>45</x:v>
      </x:c>
      <x:c r="B369" s="23" t="str">
        <x:v>帮我查一下深圳东华风车D-HRH站点下小区的方位角和移动网号。</x:v>
      </x:c>
      <x:c r="C369" s="23" t="str">
        <x:v>查询深圳东华风车D-HRH站点下小区的方位角和移动网号</x:v>
      </x:c>
      <x:c r="D369" s="23" t="str">
        <x:v>Recipe - DeepSeek</x:v>
      </x:c>
      <x:c r="E369" s="23" t="str">
        <x:v>DeepSeek recipe调用</x:v>
      </x:c>
      <x:c r="F369" s="21" t="n">
        <x:v>1</x:v>
      </x:c>
      <x:c r="G369" s="21" t="str">
        <x:v>2026-08-12T10:27:52.689</x:v>
      </x:c>
      <x:c r="H369" s="36" t="n">
        <x:v>3130.204</x:v>
      </x:c>
      <x:c r="I369" s="36" t="n">
        <x:f>H369/1000</x:f>
        <x:v>3.130204</x:v>
      </x:c>
      <x:c r="J369" s="21" t="str">
        <x:v>data2/dsv4_2_recipe_ds.jsonl</x:v>
      </x:c>
      <x:c r="K369" s="21" t="n">
        <x:v>97</x:v>
      </x:c>
      <x:c r="L369" s="21" t="str">
        <x:v>processed精确文本</x:v>
      </x:c>
    </x:row>
    <x:row r="370">
      <x:c r="A370" s="38" t="n">
        <x:v>45</x:v>
      </x:c>
      <x:c r="B370" s="23" t="str">
        <x:v>帮我查一下深圳东华风车D-HRH站点下小区的方位角和移动网号。</x:v>
      </x:c>
      <x:c r="C370" s="23" t="str">
        <x:v>查询深圳东华风车D-HRH站点下小区的方位角和移动网号</x:v>
      </x:c>
      <x:c r="D370" s="23" t="str">
        <x:v>Recipe - Qwen执行</x:v>
      </x:c>
      <x:c r="E370" s="23" t="str">
        <x:v>同一问题第1次Qwen调用</x:v>
      </x:c>
      <x:c r="F370" s="21" t="n">
        <x:v>1</x:v>
      </x:c>
      <x:c r="G370" s="21" t="str">
        <x:v>2026-08-12T10:27:56.144</x:v>
      </x:c>
      <x:c r="H370" s="36" t="n">
        <x:v>1221.304</x:v>
      </x:c>
      <x:c r="I370" s="36" t="n">
        <x:f>H370/1000</x:f>
        <x:v>1.2213040000000002</x:v>
      </x:c>
      <x:c r="J370" s="21" t="str">
        <x:v>data2/qwen3_2.jsonl</x:v>
      </x:c>
      <x:c r="K370" s="21" t="n">
        <x:v>107</x:v>
      </x:c>
      <x:c r="L370" s="21" t="str">
        <x:v>processed精确文本</x:v>
      </x:c>
    </x:row>
    <x:row r="371">
      <x:c r="A371" s="38" t="n">
        <x:v>45</x:v>
      </x:c>
      <x:c r="B371" s="23" t="str">
        <x:v>帮我查一下深圳东华风车D-HRH站点下小区的方位角和移动网号。</x:v>
      </x:c>
      <x:c r="C371" s="23" t="str">
        <x:v>查询深圳东华风车D-HRH站点下小区的方位角和移动网号</x:v>
      </x:c>
      <x:c r="D371" s="23" t="str">
        <x:v>Recipe - Qwen总结</x:v>
      </x:c>
      <x:c r="E371" s="23" t="str">
        <x:v>同一问题最后一次Qwen调用</x:v>
      </x:c>
      <x:c r="F371" s="21" t="n">
        <x:v>1</x:v>
      </x:c>
      <x:c r="G371" s="21" t="str">
        <x:v>2026-08-12T10:27:57.870</x:v>
      </x:c>
      <x:c r="H371" s="36" t="n">
        <x:v>1576.431</x:v>
      </x:c>
      <x:c r="I371" s="36" t="n">
        <x:f>H371/1000</x:f>
        <x:v>1.5764310000000001</x:v>
      </x:c>
      <x:c r="J371" s="21" t="str">
        <x:v>data2/qwen3_2.jsonl</x:v>
      </x:c>
      <x:c r="K371" s="21" t="n">
        <x:v>108</x:v>
      </x:c>
      <x:c r="L371" s="21" t="str">
        <x:v>processed精确文本</x:v>
      </x:c>
    </x:row>
    <x:row r="372">
      <x:c r="A372" s="38" t="n">
        <x:v>45</x:v>
      </x:c>
      <x:c r="B372" s="23" t="str">
        <x:v>帮我查一下深圳东华风车D-HRH站点下小区的方位角和移动网号。</x:v>
      </x:c>
      <x:c r="C372" s="23" t="str">
        <x:v>查询深圳东华风车D-HRH站点下小区的方位角和移动网号</x:v>
      </x:c>
      <x:c r="D372" s="23" t="str">
        <x:v>AICO总结</x:v>
      </x:c>
      <x:c r="E372" s="23" t="str">
        <x:v>无tool_calls</x:v>
      </x:c>
      <x:c r="F372" s="21" t="n">
        <x:v>1</x:v>
      </x:c>
      <x:c r="G372" s="21" t="str">
        <x:v>2026-08-12T10:27:59.694</x:v>
      </x:c>
      <x:c r="H372" s="36" t="n">
        <x:v>7420.309</x:v>
      </x:c>
      <x:c r="I372" s="36" t="n">
        <x:f>H372/1000</x:f>
        <x:v>7.4203090000000005</x:v>
      </x:c>
      <x:c r="J372" s="21" t="str">
        <x:v>data2/dsv4_2_aico.jsonl</x:v>
      </x:c>
      <x:c r="K372" s="21" t="n">
        <x:v>166</x:v>
      </x:c>
      <x:c r="L372" s="21" t="str">
        <x:v>original精确文本</x:v>
      </x:c>
    </x:row>
    <x:row r="373">
      <x:c r="A373" s="38" t="n">
        <x:v>45</x:v>
      </x:c>
      <x:c r="B373" s="23" t="str">
        <x:v>帮我查一下深圳东华风车D-HRH站点下小区的方位角和移动网号。</x:v>
      </x:c>
      <x:c r="C373" s="23" t="str">
        <x:v>查询深圳东华风车D-HRH站点下小区的方位角和移动网号</x:v>
      </x:c>
      <x:c r="D373" s="23" t="str">
        <x:v>问题推荐</x:v>
      </x:c>
      <x:c r="E373" s="23" t="str">
        <x:v>后续问题推荐</x:v>
      </x:c>
      <x:c r="F373" s="21" t="n">
        <x:v>1</x:v>
      </x:c>
      <x:c r="G373" s="21" t="str">
        <x:v>2026-08-12T10:28:07.401</x:v>
      </x:c>
      <x:c r="H373" s="36" t="n">
        <x:v>5085.642</x:v>
      </x:c>
      <x:c r="I373" s="36" t="n">
        <x:f>H373/1000</x:f>
        <x:v>5.085642</x:v>
      </x:c>
      <x:c r="J373" s="21" t="str">
        <x:v>data2/dsv4_2_recipe_ds.jsonl</x:v>
      </x:c>
      <x:c r="K373" s="21" t="n">
        <x:v>98</x:v>
      </x:c>
      <x:c r="L373" s="21" t="str">
        <x:v>original精确文本</x:v>
      </x:c>
    </x:row>
    <x:row r="374">
      <x:c r="A374" s="38" t="n">
        <x:v>46</x:v>
      </x:c>
      <x:c r="B374" s="23" t="str">
        <x:v>帮我查一下深圳梅沙湾D-HRH-3和深圳梅沙湾二D-HRH-1这两个小区的方位角、电子下倾角以及设备厂商。</x:v>
      </x:c>
      <x:c r="C374" s="23" t="str">
        <x:v>查询深圳梅沙湾D-HRH-3和深圳梅沙湾二D-HRH-1这两个小区的方位角、电子下倾角以及设备厂商</x:v>
      </x:c>
      <x:c r="D374" s="23" t="str">
        <x:v>AICO Tool Call - Skill</x:v>
      </x:c>
      <x:c r="E374" s="23" t="str">
        <x:v>Skill</x:v>
      </x:c>
      <x:c r="F374" s="21" t="n">
        <x:v>1</x:v>
      </x:c>
      <x:c r="G374" s="21" t="str">
        <x:v>2026-08-12T10:28:08.319</x:v>
      </x:c>
      <x:c r="H374" s="36" t="n">
        <x:v>5646.144</x:v>
      </x:c>
      <x:c r="I374" s="36" t="n">
        <x:f>H374/1000</x:f>
        <x:v>5.6461440000000005</x:v>
      </x:c>
      <x:c r="J374" s="21" t="str">
        <x:v>data2/dsv4_2_aico.jsonl</x:v>
      </x:c>
      <x:c r="K374" s="21" t="n">
        <x:v>167</x:v>
      </x:c>
      <x:c r="L374" s="21" t="str">
        <x:v>original精确文本</x:v>
      </x:c>
    </x:row>
    <x:row r="375">
      <x:c r="A375" s="38" t="n">
        <x:v>46</x:v>
      </x:c>
      <x:c r="B375" s="23" t="str">
        <x:v>帮我查一下深圳梅沙湾D-HRH-3和深圳梅沙湾二D-HRH-1这两个小区的方位角、电子下倾角以及设备厂商。</x:v>
      </x:c>
      <x:c r="C375" s="23" t="str">
        <x:v>查询深圳梅沙湾D-HRH-3和深圳梅沙湾二D-HRH-1这两个小区的方位角、电子下倾角以及设备厂商</x:v>
      </x:c>
      <x:c r="D375" s="23" t="str">
        <x:v>AICO Tool Call - Workflow</x:v>
      </x:c>
      <x:c r="E375" s="23" t="str">
        <x:v>Workflow</x:v>
      </x:c>
      <x:c r="F375" s="21" t="n">
        <x:v>1</x:v>
      </x:c>
      <x:c r="G375" s="21" t="str">
        <x:v>2026-08-12T10:28:14.128</x:v>
      </x:c>
      <x:c r="H375" s="36" t="n">
        <x:v>5540.234</x:v>
      </x:c>
      <x:c r="I375" s="36" t="n">
        <x:f>H375/1000</x:f>
        <x:v>5.540234000000001</x:v>
      </x:c>
      <x:c r="J375" s="21" t="str">
        <x:v>data2/dsv4_2_aico.jsonl</x:v>
      </x:c>
      <x:c r="K375" s="21" t="n">
        <x:v>168</x:v>
      </x:c>
      <x:c r="L375" s="21" t="str">
        <x:v>original精确文本</x:v>
      </x:c>
    </x:row>
    <x:row r="376">
      <x:c r="A376" s="38" t="n">
        <x:v>46</x:v>
      </x:c>
      <x:c r="B376" s="23" t="str">
        <x:v>帮我查一下深圳梅沙湾D-HRH-3和深圳梅沙湾二D-HRH-1这两个小区的方位角、电子下倾角以及设备厂商。</x:v>
      </x:c>
      <x:c r="C376" s="23" t="str">
        <x:v>查询深圳梅沙湾D-HRH-3和深圳梅沙湾二D-HRH-1这两个小区的方位角、电子下倾角以及设备厂商</x:v>
      </x:c>
      <x:c r="D376" s="23" t="str">
        <x:v>Recipe - DeepSeek</x:v>
      </x:c>
      <x:c r="E376" s="23" t="str">
        <x:v>DeepSeek recipe调用</x:v>
      </x:c>
      <x:c r="F376" s="21" t="n">
        <x:v>1</x:v>
      </x:c>
      <x:c r="G376" s="21" t="str">
        <x:v>2026-08-12T10:28:21.072</x:v>
      </x:c>
      <x:c r="H376" s="36" t="n">
        <x:v>3424.359</x:v>
      </x:c>
      <x:c r="I376" s="36" t="n">
        <x:f>H376/1000</x:f>
        <x:v>3.424359</x:v>
      </x:c>
      <x:c r="J376" s="21" t="str">
        <x:v>data2/dsv4_2_recipe_ds.jsonl</x:v>
      </x:c>
      <x:c r="K376" s="21" t="n">
        <x:v>99</x:v>
      </x:c>
      <x:c r="L376" s="21" t="str">
        <x:v>processed精确文本</x:v>
      </x:c>
    </x:row>
    <x:row r="377">
      <x:c r="A377" s="38" t="n">
        <x:v>46</x:v>
      </x:c>
      <x:c r="B377" s="23" t="str">
        <x:v>帮我查一下深圳梅沙湾D-HRH-3和深圳梅沙湾二D-HRH-1这两个小区的方位角、电子下倾角以及设备厂商。</x:v>
      </x:c>
      <x:c r="C377" s="23" t="str">
        <x:v>查询深圳梅沙湾D-HRH-3和深圳梅沙湾二D-HRH-1这两个小区的方位角、电子下倾角以及设备厂商</x:v>
      </x:c>
      <x:c r="D377" s="23" t="str">
        <x:v>Recipe - Qwen执行</x:v>
      </x:c>
      <x:c r="E377" s="23" t="str">
        <x:v>同一问题第1次Qwen调用</x:v>
      </x:c>
      <x:c r="F377" s="21" t="n">
        <x:v>1</x:v>
      </x:c>
      <x:c r="G377" s="21" t="str">
        <x:v>2026-08-12T10:28:24.815</x:v>
      </x:c>
      <x:c r="H377" s="36" t="n">
        <x:v>1304.091</x:v>
      </x:c>
      <x:c r="I377" s="36" t="n">
        <x:f>H377/1000</x:f>
        <x:v>1.304091</x:v>
      </x:c>
      <x:c r="J377" s="21" t="str">
        <x:v>data2/qwen3_2.jsonl</x:v>
      </x:c>
      <x:c r="K377" s="21" t="n">
        <x:v>109</x:v>
      </x:c>
      <x:c r="L377" s="21" t="str">
        <x:v>processed精确文本</x:v>
      </x:c>
    </x:row>
    <x:row r="378">
      <x:c r="A378" s="38" t="n">
        <x:v>46</x:v>
      </x:c>
      <x:c r="B378" s="23" t="str">
        <x:v>帮我查一下深圳梅沙湾D-HRH-3和深圳梅沙湾二D-HRH-1这两个小区的方位角、电子下倾角以及设备厂商。</x:v>
      </x:c>
      <x:c r="C378" s="23" t="str">
        <x:v>查询深圳梅沙湾D-HRH-3和深圳梅沙湾二D-HRH-1这两个小区的方位角、电子下倾角以及设备厂商</x:v>
      </x:c>
      <x:c r="D378" s="23" t="str">
        <x:v>Recipe - Qwen执行</x:v>
      </x:c>
      <x:c r="E378" s="23" t="str">
        <x:v>同一问题第2次Qwen调用</x:v>
      </x:c>
      <x:c r="F378" s="21" t="n">
        <x:v>2</x:v>
      </x:c>
      <x:c r="G378" s="21" t="str">
        <x:v>2026-08-12T10:28:26.564</x:v>
      </x:c>
      <x:c r="H378" s="36" t="n">
        <x:v>1656.621</x:v>
      </x:c>
      <x:c r="I378" s="36" t="n">
        <x:f>H378/1000</x:f>
        <x:v>1.6566210000000001</x:v>
      </x:c>
      <x:c r="J378" s="21" t="str">
        <x:v>data2/qwen3_2.jsonl</x:v>
      </x:c>
      <x:c r="K378" s="21" t="n">
        <x:v>110</x:v>
      </x:c>
      <x:c r="L378" s="21" t="str">
        <x:v>processed精确文本</x:v>
      </x:c>
    </x:row>
    <x:row r="379">
      <x:c r="A379" s="38" t="n">
        <x:v>46</x:v>
      </x:c>
      <x:c r="B379" s="23" t="str">
        <x:v>帮我查一下深圳梅沙湾D-HRH-3和深圳梅沙湾二D-HRH-1这两个小区的方位角、电子下倾角以及设备厂商。</x:v>
      </x:c>
      <x:c r="C379" s="23" t="str">
        <x:v>查询深圳梅沙湾D-HRH-3和深圳梅沙湾二D-HRH-1这两个小区的方位角、电子下倾角以及设备厂商</x:v>
      </x:c>
      <x:c r="D379" s="23" t="str">
        <x:v>Recipe - Qwen总结</x:v>
      </x:c>
      <x:c r="E379" s="23" t="str">
        <x:v>同一问题最后一次Qwen调用</x:v>
      </x:c>
      <x:c r="F379" s="21" t="n">
        <x:v>1</x:v>
      </x:c>
      <x:c r="G379" s="21" t="str">
        <x:v>2026-08-12T10:28:28.713</x:v>
      </x:c>
      <x:c r="H379" s="36" t="n">
        <x:v>1699.642</x:v>
      </x:c>
      <x:c r="I379" s="36" t="n">
        <x:f>H379/1000</x:f>
        <x:v>1.699642</x:v>
      </x:c>
      <x:c r="J379" s="21" t="str">
        <x:v>data2/qwen3_2.jsonl</x:v>
      </x:c>
      <x:c r="K379" s="21" t="n">
        <x:v>111</x:v>
      </x:c>
      <x:c r="L379" s="21" t="str">
        <x:v>processed精确文本</x:v>
      </x:c>
    </x:row>
    <x:row r="380">
      <x:c r="A380" s="38" t="n">
        <x:v>46</x:v>
      </x:c>
      <x:c r="B380" s="23" t="str">
        <x:v>帮我查一下深圳梅沙湾D-HRH-3和深圳梅沙湾二D-HRH-1这两个小区的方位角、电子下倾角以及设备厂商。</x:v>
      </x:c>
      <x:c r="C380" s="23" t="str">
        <x:v>查询深圳梅沙湾D-HRH-3和深圳梅沙湾二D-HRH-1这两个小区的方位角、电子下倾角以及设备厂商</x:v>
      </x:c>
      <x:c r="D380" s="23" t="str">
        <x:v>AICO总结</x:v>
      </x:c>
      <x:c r="E380" s="23" t="str">
        <x:v>无tool_calls</x:v>
      </x:c>
      <x:c r="F380" s="21" t="n">
        <x:v>1</x:v>
      </x:c>
      <x:c r="G380" s="21" t="str">
        <x:v>2026-08-12T10:28:30.658</x:v>
      </x:c>
      <x:c r="H380" s="36" t="n">
        <x:v>5594.664</x:v>
      </x:c>
      <x:c r="I380" s="36" t="n">
        <x:f>H380/1000</x:f>
        <x:v>5.594664</x:v>
      </x:c>
      <x:c r="J380" s="21" t="str">
        <x:v>data2/dsv4_2_aico.jsonl</x:v>
      </x:c>
      <x:c r="K380" s="21" t="n">
        <x:v>169</x:v>
      </x:c>
      <x:c r="L380" s="21" t="str">
        <x:v>original精确文本</x:v>
      </x:c>
    </x:row>
    <x:row r="381">
      <x:c r="A381" s="38" t="n">
        <x:v>46</x:v>
      </x:c>
      <x:c r="B381" s="23" t="str">
        <x:v>帮我查一下深圳梅沙湾D-HRH-3和深圳梅沙湾二D-HRH-1这两个小区的方位角、电子下倾角以及设备厂商。</x:v>
      </x:c>
      <x:c r="C381" s="23" t="str">
        <x:v>查询深圳梅沙湾D-HRH-3和深圳梅沙湾二D-HRH-1这两个小区的方位角、电子下倾角以及设备厂商</x:v>
      </x:c>
      <x:c r="D381" s="23" t="str">
        <x:v>问题推荐</x:v>
      </x:c>
      <x:c r="E381" s="23" t="str">
        <x:v>后续问题推荐</x:v>
      </x:c>
      <x:c r="F381" s="21" t="n">
        <x:v>1</x:v>
      </x:c>
      <x:c r="G381" s="21" t="str">
        <x:v>2026-08-12T10:28:36.510</x:v>
      </x:c>
      <x:c r="H381" s="36" t="n">
        <x:v>5248.179</x:v>
      </x:c>
      <x:c r="I381" s="36" t="n">
        <x:f>H381/1000</x:f>
        <x:v>5.248179</x:v>
      </x:c>
      <x:c r="J381" s="21" t="str">
        <x:v>data2/dsv4_2_recipe_ds.jsonl</x:v>
      </x:c>
      <x:c r="K381" s="21" t="n">
        <x:v>100</x:v>
      </x:c>
      <x:c r="L381" s="21" t="str">
        <x:v>original精确文本</x:v>
      </x:c>
    </x:row>
    <x:row r="382">
      <x:c r="A382" s="38" t="n">
        <x:v>47</x:v>
      </x:c>
      <x:c r="B382" s="23" t="str">
        <x:v>看一下CBN-深圳大梅沙U-H5H和深圳大梅沙二D-HRH这两个站点下小区的纬度、机械下倾角和小区标识。</x:v>
      </x:c>
      <x:c r="C382" s="23" t="str">
        <x:v>查询站点CBN-深圳大梅沙U-H5H和深圳大梅沙二D-HRH下所有小区的纬度、机械下倾角和小区标识</x:v>
      </x:c>
      <x:c r="D382" s="23" t="str">
        <x:v>AICO Tool Call - Skill</x:v>
      </x:c>
      <x:c r="E382" s="23" t="str">
        <x:v>Skill</x:v>
      </x:c>
      <x:c r="F382" s="21" t="n">
        <x:v>1</x:v>
      </x:c>
      <x:c r="G382" s="21" t="str">
        <x:v>2026-08-12T10:28:37.483</x:v>
      </x:c>
      <x:c r="H382" s="36" t="n">
        <x:v>5545.234</x:v>
      </x:c>
      <x:c r="I382" s="36" t="n">
        <x:f>H382/1000</x:f>
        <x:v>5.545234000000001</x:v>
      </x:c>
      <x:c r="J382" s="21" t="str">
        <x:v>data2/dsv4_2_aico.jsonl</x:v>
      </x:c>
      <x:c r="K382" s="21" t="n">
        <x:v>170</x:v>
      </x:c>
      <x:c r="L382" s="21" t="str">
        <x:v>original精确文本</x:v>
      </x:c>
    </x:row>
    <x:row r="383">
      <x:c r="A383" s="38" t="n">
        <x:v>47</x:v>
      </x:c>
      <x:c r="B383" s="23" t="str">
        <x:v>看一下CBN-深圳大梅沙U-H5H和深圳大梅沙二D-HRH这两个站点下小区的纬度、机械下倾角和小区标识。</x:v>
      </x:c>
      <x:c r="C383" s="23" t="str">
        <x:v>查询站点CBN-深圳大梅沙U-H5H和深圳大梅沙二D-HRH下所有小区的纬度、机械下倾角和小区标识</x:v>
      </x:c>
      <x:c r="D383" s="23" t="str">
        <x:v>AICO Tool Call - Workflow</x:v>
      </x:c>
      <x:c r="E383" s="23" t="str">
        <x:v>Workflow</x:v>
      </x:c>
      <x:c r="F383" s="21" t="n">
        <x:v>1</x:v>
      </x:c>
      <x:c r="G383" s="21" t="str">
        <x:v>2026-08-12T10:28:43.176</x:v>
      </x:c>
      <x:c r="H383" s="36" t="n">
        <x:v>5435.003</x:v>
      </x:c>
      <x:c r="I383" s="36" t="n">
        <x:f>H383/1000</x:f>
        <x:v>5.435003</x:v>
      </x:c>
      <x:c r="J383" s="21" t="str">
        <x:v>data2/dsv4_2_aico.jsonl</x:v>
      </x:c>
      <x:c r="K383" s="21" t="n">
        <x:v>171</x:v>
      </x:c>
      <x:c r="L383" s="21" t="str">
        <x:v>original精确文本</x:v>
      </x:c>
    </x:row>
    <x:row r="384">
      <x:c r="A384" s="38" t="n">
        <x:v>47</x:v>
      </x:c>
      <x:c r="B384" s="23" t="str">
        <x:v>看一下CBN-深圳大梅沙U-H5H和深圳大梅沙二D-HRH这两个站点下小区的纬度、机械下倾角和小区标识。</x:v>
      </x:c>
      <x:c r="C384" s="23" t="str">
        <x:v>查询站点CBN-深圳大梅沙U-H5H和深圳大梅沙二D-HRH下所有小区的纬度、机械下倾角和小区标识</x:v>
      </x:c>
      <x:c r="D384" s="23" t="str">
        <x:v>Recipe - DeepSeek</x:v>
      </x:c>
      <x:c r="E384" s="23" t="str">
        <x:v>DeepSeek recipe调用</x:v>
      </x:c>
      <x:c r="F384" s="21" t="n">
        <x:v>1</x:v>
      </x:c>
      <x:c r="G384" s="21" t="str">
        <x:v>2026-08-12T10:28:50.009</x:v>
      </x:c>
      <x:c r="H384" s="36" t="n">
        <x:v>3679.248</x:v>
      </x:c>
      <x:c r="I384" s="36" t="n">
        <x:f>H384/1000</x:f>
        <x:v>3.679248</x:v>
      </x:c>
      <x:c r="J384" s="21" t="str">
        <x:v>data2/dsv4_2_recipe_ds.jsonl</x:v>
      </x:c>
      <x:c r="K384" s="21" t="n">
        <x:v>101</x:v>
      </x:c>
      <x:c r="L384" s="21" t="str">
        <x:v>processed精确文本</x:v>
      </x:c>
    </x:row>
    <x:row r="385">
      <x:c r="A385" s="38" t="n">
        <x:v>47</x:v>
      </x:c>
      <x:c r="B385" s="23" t="str">
        <x:v>看一下CBN-深圳大梅沙U-H5H和深圳大梅沙二D-HRH这两个站点下小区的纬度、机械下倾角和小区标识。</x:v>
      </x:c>
      <x:c r="C385" s="23" t="str">
        <x:v>查询站点CBN-深圳大梅沙U-H5H和深圳大梅沙二D-HRH下所有小区的纬度、机械下倾角和小区标识</x:v>
      </x:c>
      <x:c r="D385" s="23" t="str">
        <x:v>Recipe - Qwen执行</x:v>
      </x:c>
      <x:c r="E385" s="23" t="str">
        <x:v>同一问题第1次Qwen调用</x:v>
      </x:c>
      <x:c r="F385" s="21" t="n">
        <x:v>1</x:v>
      </x:c>
      <x:c r="G385" s="21" t="str">
        <x:v>2026-08-12T10:28:54.017</x:v>
      </x:c>
      <x:c r="H385" s="36" t="n">
        <x:v>1349.317</x:v>
      </x:c>
      <x:c r="I385" s="36" t="n">
        <x:f>H385/1000</x:f>
        <x:v>1.349317</x:v>
      </x:c>
      <x:c r="J385" s="21" t="str">
        <x:v>data2/qwen3_2.jsonl</x:v>
      </x:c>
      <x:c r="K385" s="21" t="n">
        <x:v>112</x:v>
      </x:c>
      <x:c r="L385" s="21" t="str">
        <x:v>processed精确文本</x:v>
      </x:c>
    </x:row>
    <x:row r="386">
      <x:c r="A386" s="38" t="n">
        <x:v>47</x:v>
      </x:c>
      <x:c r="B386" s="23" t="str">
        <x:v>看一下CBN-深圳大梅沙U-H5H和深圳大梅沙二D-HRH这两个站点下小区的纬度、机械下倾角和小区标识。</x:v>
      </x:c>
      <x:c r="C386" s="23" t="str">
        <x:v>查询站点CBN-深圳大梅沙U-H5H和深圳大梅沙二D-HRH下所有小区的纬度、机械下倾角和小区标识</x:v>
      </x:c>
      <x:c r="D386" s="23" t="str">
        <x:v>Recipe - Qwen总结</x:v>
      </x:c>
      <x:c r="E386" s="23" t="str">
        <x:v>同一问题最后一次Qwen调用</x:v>
      </x:c>
      <x:c r="F386" s="21" t="n">
        <x:v>1</x:v>
      </x:c>
      <x:c r="G386" s="21" t="str">
        <x:v>2026-08-12T10:28:55.846</x:v>
      </x:c>
      <x:c r="H386" s="36" t="n">
        <x:v>2751.647</x:v>
      </x:c>
      <x:c r="I386" s="36" t="n">
        <x:f>H386/1000</x:f>
        <x:v>2.7516469999999997</x:v>
      </x:c>
      <x:c r="J386" s="21" t="str">
        <x:v>data2/qwen3_2.jsonl</x:v>
      </x:c>
      <x:c r="K386" s="21" t="n">
        <x:v>113</x:v>
      </x:c>
      <x:c r="L386" s="21" t="str">
        <x:v>processed精确文本</x:v>
      </x:c>
    </x:row>
    <x:row r="387">
      <x:c r="A387" s="38" t="n">
        <x:v>47</x:v>
      </x:c>
      <x:c r="B387" s="23" t="str">
        <x:v>看一下CBN-深圳大梅沙U-H5H和深圳大梅沙二D-HRH这两个站点下小区的纬度、机械下倾角和小区标识。</x:v>
      </x:c>
      <x:c r="C387" s="23" t="str">
        <x:v>查询站点CBN-深圳大梅沙U-H5H和深圳大梅沙二D-HRH下所有小区的纬度、机械下倾角和小区标识</x:v>
      </x:c>
      <x:c r="D387" s="23" t="str">
        <x:v>AICO总结</x:v>
      </x:c>
      <x:c r="E387" s="23" t="str">
        <x:v>无tool_calls</x:v>
      </x:c>
      <x:c r="F387" s="21" t="n">
        <x:v>1</x:v>
      </x:c>
      <x:c r="G387" s="21" t="str">
        <x:v>2026-08-12T10:28:58.857</x:v>
      </x:c>
      <x:c r="H387" s="36" t="n">
        <x:v>8046.814</x:v>
      </x:c>
      <x:c r="I387" s="36" t="n">
        <x:f>H387/1000</x:f>
        <x:v>8.046814</x:v>
      </x:c>
      <x:c r="J387" s="21" t="str">
        <x:v>data2/dsv4_2_aico.jsonl</x:v>
      </x:c>
      <x:c r="K387" s="21" t="n">
        <x:v>172</x:v>
      </x:c>
      <x:c r="L387" s="21" t="str">
        <x:v>original精确文本</x:v>
      </x:c>
    </x:row>
    <x:row r="388">
      <x:c r="A388" s="38" t="n">
        <x:v>47</x:v>
      </x:c>
      <x:c r="B388" s="23" t="str">
        <x:v>看一下CBN-深圳大梅沙U-H5H和深圳大梅沙二D-HRH这两个站点下小区的纬度、机械下倾角和小区标识。</x:v>
      </x:c>
      <x:c r="C388" s="23" t="str">
        <x:v>查询站点CBN-深圳大梅沙U-H5H和深圳大梅沙二D-HRH下所有小区的纬度、机械下倾角和小区标识</x:v>
      </x:c>
      <x:c r="D388" s="23" t="str">
        <x:v>问题推荐</x:v>
      </x:c>
      <x:c r="E388" s="23" t="str">
        <x:v>后续问题推荐</x:v>
      </x:c>
      <x:c r="F388" s="21" t="n">
        <x:v>1</x:v>
      </x:c>
      <x:c r="G388" s="21" t="str">
        <x:v>2026-08-12T10:29:07.358</x:v>
      </x:c>
      <x:c r="H388" s="36" t="n">
        <x:v>7965.348</x:v>
      </x:c>
      <x:c r="I388" s="36" t="n">
        <x:f>H388/1000</x:f>
        <x:v>7.965348</x:v>
      </x:c>
      <x:c r="J388" s="21" t="str">
        <x:v>data2/dsv4_2_recipe_ds.jsonl</x:v>
      </x:c>
      <x:c r="K388" s="21" t="n">
        <x:v>102</x:v>
      </x:c>
      <x:c r="L388" s="21" t="str">
        <x:v>original精确文本</x:v>
      </x:c>
    </x:row>
    <x:row r="389">
      <x:c r="A389" s="38" t="n">
        <x:v>48</x:v>
      </x:c>
      <x:c r="B389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89" s="23" t="str">
        <x:v>查询CBN-福州仓山-福厦高铁鸡笼山隧道C-HRRH-513、CBN-福州仓山-火车南站东南美化塔C-HRHH-518和CBN-福州仓山-永南路与站后路交叉口C-HRHH-516这三个小区的基站标识、移动网号和天线高度</x:v>
      </x:c>
      <x:c r="D389" s="23" t="str">
        <x:v>AICO Tool Call - Skill</x:v>
      </x:c>
      <x:c r="E389" s="23" t="str">
        <x:v>Skill</x:v>
      </x:c>
      <x:c r="F389" s="21" t="n">
        <x:v>1</x:v>
      </x:c>
      <x:c r="G389" s="21" t="str">
        <x:v>2026-08-12T10:29:08.204</x:v>
      </x:c>
      <x:c r="H389" s="36" t="n">
        <x:v>9222.03</x:v>
      </x:c>
      <x:c r="I389" s="36" t="n">
        <x:f>H389/1000</x:f>
        <x:v>9.22203</x:v>
      </x:c>
      <x:c r="J389" s="21" t="str">
        <x:v>data2/dsv4_2_aico.jsonl</x:v>
      </x:c>
      <x:c r="K389" s="21" t="n">
        <x:v>173</x:v>
      </x:c>
      <x:c r="L389" s="21" t="str">
        <x:v>original精确文本</x:v>
      </x:c>
    </x:row>
    <x:row r="390">
      <x:c r="A390" s="38" t="n">
        <x:v>48</x:v>
      </x:c>
      <x:c r="B390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90" s="23" t="str">
        <x:v>查询CBN-福州仓山-福厦高铁鸡笼山隧道C-HRRH-513、CBN-福州仓山-火车南站东南美化塔C-HRHH-518和CBN-福州仓山-永南路与站后路交叉口C-HRHH-516这三个小区的基站标识、移动网号和天线高度</x:v>
      </x:c>
      <x:c r="D390" s="23" t="str">
        <x:v>AICO Tool Call - Workflow</x:v>
      </x:c>
      <x:c r="E390" s="23" t="str">
        <x:v>Workflow</x:v>
      </x:c>
      <x:c r="F390" s="21" t="n">
        <x:v>1</x:v>
      </x:c>
      <x:c r="G390" s="21" t="str">
        <x:v>2026-08-12T10:29:17.586</x:v>
      </x:c>
      <x:c r="H390" s="36" t="n">
        <x:v>8986.254</x:v>
      </x:c>
      <x:c r="I390" s="36" t="n">
        <x:f>H390/1000</x:f>
        <x:v>8.986254</x:v>
      </x:c>
      <x:c r="J390" s="21" t="str">
        <x:v>data2/dsv4_2_aico.jsonl</x:v>
      </x:c>
      <x:c r="K390" s="21" t="n">
        <x:v>174</x:v>
      </x:c>
      <x:c r="L390" s="21" t="str">
        <x:v>original精确文本</x:v>
      </x:c>
    </x:row>
    <x:row r="391">
      <x:c r="A391" s="38" t="n">
        <x:v>48</x:v>
      </x:c>
      <x:c r="B391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91" s="23" t="str">
        <x:v>查询CBN-福州仓山-福厦高铁鸡笼山隧道C-HRRH-513、CBN-福州仓山-火车南站东南美化塔C-HRHH-518和CBN-福州仓山-永南路与站后路交叉口C-HRHH-516这三个小区的基站标识、移动网号和天线高度</x:v>
      </x:c>
      <x:c r="D391" s="23" t="str">
        <x:v>Recipe - DeepSeek</x:v>
      </x:c>
      <x:c r="E391" s="23" t="str">
        <x:v>DeepSeek recipe调用</x:v>
      </x:c>
      <x:c r="F391" s="21" t="n">
        <x:v>1</x:v>
      </x:c>
      <x:c r="G391" s="21" t="str">
        <x:v>2026-08-12T10:29:28.004</x:v>
      </x:c>
      <x:c r="H391" s="36" t="n">
        <x:v>5206.481</x:v>
      </x:c>
      <x:c r="I391" s="36" t="n">
        <x:f>H391/1000</x:f>
        <x:v>5.206481</x:v>
      </x:c>
      <x:c r="J391" s="21" t="str">
        <x:v>data2/dsv4_2_recipe_ds.jsonl</x:v>
      </x:c>
      <x:c r="K391" s="21" t="n">
        <x:v>103</x:v>
      </x:c>
      <x:c r="L391" s="21" t="str">
        <x:v>processed精确文本</x:v>
      </x:c>
    </x:row>
    <x:row r="392">
      <x:c r="A392" s="38" t="n">
        <x:v>48</x:v>
      </x:c>
      <x:c r="B392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92" s="23" t="str">
        <x:v>查询CBN-福州仓山-福厦高铁鸡笼山隧道C-HRRH-513、CBN-福州仓山-火车南站东南美化塔C-HRHH-518和CBN-福州仓山-永南路与站后路交叉口C-HRHH-516这三个小区的基站标识、移动网号和天线高度</x:v>
      </x:c>
      <x:c r="D392" s="23" t="str">
        <x:v>Recipe - Qwen执行</x:v>
      </x:c>
      <x:c r="E392" s="23" t="str">
        <x:v>同一问题第1次Qwen调用</x:v>
      </x:c>
      <x:c r="F392" s="21" t="n">
        <x:v>1</x:v>
      </x:c>
      <x:c r="G392" s="21" t="str">
        <x:v>2026-08-12T10:29:33.539</x:v>
      </x:c>
      <x:c r="H392" s="36" t="n">
        <x:v>1884.231</x:v>
      </x:c>
      <x:c r="I392" s="36" t="n">
        <x:f>H392/1000</x:f>
        <x:v>1.884231</x:v>
      </x:c>
      <x:c r="J392" s="21" t="str">
        <x:v>data2/qwen3_2.jsonl</x:v>
      </x:c>
      <x:c r="K392" s="21" t="n">
        <x:v>114</x:v>
      </x:c>
      <x:c r="L392" s="21" t="str">
        <x:v>processed精确文本</x:v>
      </x:c>
    </x:row>
    <x:row r="393">
      <x:c r="A393" s="38" t="n">
        <x:v>48</x:v>
      </x:c>
      <x:c r="B393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93" s="23" t="str">
        <x:v>查询CBN-福州仓山-福厦高铁鸡笼山隧道C-HRRH-513、CBN-福州仓山-火车南站东南美化塔C-HRHH-518和CBN-福州仓山-永南路与站后路交叉口C-HRHH-516这三个小区的基站标识、移动网号和天线高度</x:v>
      </x:c>
      <x:c r="D393" s="23" t="str">
        <x:v>Recipe - Qwen总结</x:v>
      </x:c>
      <x:c r="E393" s="23" t="str">
        <x:v>同一问题最后一次Qwen调用</x:v>
      </x:c>
      <x:c r="F393" s="21" t="n">
        <x:v>1</x:v>
      </x:c>
      <x:c r="G393" s="21" t="str">
        <x:v>2026-08-12T10:29:36.095</x:v>
      </x:c>
      <x:c r="H393" s="36" t="n">
        <x:v>2402.88</x:v>
      </x:c>
      <x:c r="I393" s="36" t="n">
        <x:f>H393/1000</x:f>
        <x:v>2.40288</x:v>
      </x:c>
      <x:c r="J393" s="21" t="str">
        <x:v>data2/qwen3_2.jsonl</x:v>
      </x:c>
      <x:c r="K393" s="21" t="n">
        <x:v>115</x:v>
      </x:c>
      <x:c r="L393" s="21" t="str">
        <x:v>processed精确文本</x:v>
      </x:c>
    </x:row>
    <x:row r="394">
      <x:c r="A394" s="38" t="n">
        <x:v>48</x:v>
      </x:c>
      <x:c r="B394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94" s="23" t="str">
        <x:v>查询CBN-福州仓山-福厦高铁鸡笼山隧道C-HRRH-513、CBN-福州仓山-火车南站东南美化塔C-HRHH-518和CBN-福州仓山-永南路与站后路交叉口C-HRHH-516这三个小区的基站标识、移动网号和天线高度</x:v>
      </x:c>
      <x:c r="D394" s="23" t="str">
        <x:v>AICO总结</x:v>
      </x:c>
      <x:c r="E394" s="23" t="str">
        <x:v>无tool_calls</x:v>
      </x:c>
      <x:c r="F394" s="21" t="n">
        <x:v>1</x:v>
      </x:c>
      <x:c r="G394" s="21" t="str">
        <x:v>2026-08-12T10:29:38.794</x:v>
      </x:c>
      <x:c r="H394" s="36" t="n">
        <x:v>8071.592</x:v>
      </x:c>
      <x:c r="I394" s="36" t="n">
        <x:f>H394/1000</x:f>
        <x:v>8.071591999999999</x:v>
      </x:c>
      <x:c r="J394" s="21" t="str">
        <x:v>data2/dsv4_2_aico.jsonl</x:v>
      </x:c>
      <x:c r="K394" s="21" t="n">
        <x:v>175</x:v>
      </x:c>
      <x:c r="L394" s="21" t="str">
        <x:v>original精确文本</x:v>
      </x:c>
    </x:row>
    <x:row r="395">
      <x:c r="A395" s="38" t="n">
        <x:v>48</x:v>
      </x:c>
      <x:c r="B395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95" s="23" t="str">
        <x:v>查询CBN-福州仓山-福厦高铁鸡笼山隧道C-HRRH-513、CBN-福州仓山-火车南站东南美化塔C-HRHH-518和CBN-福州仓山-永南路与站后路交叉口C-HRHH-516这三个小区的基站标识、移动网号和天线高度</x:v>
      </x:c>
      <x:c r="D395" s="23" t="str">
        <x:v>问题推荐</x:v>
      </x:c>
      <x:c r="E395" s="23" t="str">
        <x:v>后续问题推荐</x:v>
      </x:c>
      <x:c r="F395" s="21" t="n">
        <x:v>1</x:v>
      </x:c>
      <x:c r="G395" s="21" t="str">
        <x:v>2026-08-12T10:29:47.195</x:v>
      </x:c>
      <x:c r="H395" s="36" t="n">
        <x:v>10580.932</x:v>
      </x:c>
      <x:c r="I395" s="36" t="n">
        <x:f>H395/1000</x:f>
        <x:v>10.580932</x:v>
      </x:c>
      <x:c r="J395" s="21" t="str">
        <x:v>data2/dsv4_2_recipe_ds.jsonl</x:v>
      </x:c>
      <x:c r="K395" s="21" t="n">
        <x:v>104</x:v>
      </x:c>
      <x:c r="L395" s="21" t="str">
        <x:v>original精确文本</x:v>
      </x:c>
    </x:row>
    <x:row r="396">
      <x:c r="A396" s="38" t="n">
        <x:v>49</x:v>
      </x:c>
      <x:c r="B396" s="23" t="str">
        <x:v>找出深圳东海岸三D-HRH-1和深圳奥特莱斯D-HRH-3小区的经度和站点名称。</x:v>
      </x:c>
      <x:c r="C396" s="23" t="str">
        <x:v>查询小区深圳东海岸三D-HRH-1和深圳奥特莱斯D-HRH-3的经度(longitude)和站点名称(siteName)</x:v>
      </x:c>
      <x:c r="D396" s="23" t="str">
        <x:v>AICO Tool Call - Skill</x:v>
      </x:c>
      <x:c r="E396" s="23" t="str">
        <x:v>Skill</x:v>
      </x:c>
      <x:c r="F396" s="21" t="n">
        <x:v>1</x:v>
      </x:c>
      <x:c r="G396" s="21" t="str">
        <x:v>2026-08-12T10:29:48.056</x:v>
      </x:c>
      <x:c r="H396" s="36" t="n">
        <x:v>11314.237</x:v>
      </x:c>
      <x:c r="I396" s="36" t="n">
        <x:f>H396/1000</x:f>
        <x:v>11.314236999999999</x:v>
      </x:c>
      <x:c r="J396" s="21" t="str">
        <x:v>data2/dsv4_2_aico.jsonl</x:v>
      </x:c>
      <x:c r="K396" s="21" t="n">
        <x:v>176</x:v>
      </x:c>
      <x:c r="L396" s="21" t="str">
        <x:v>original精确文本</x:v>
      </x:c>
    </x:row>
    <x:row r="397">
      <x:c r="A397" s="38" t="n">
        <x:v>49</x:v>
      </x:c>
      <x:c r="B397" s="23" t="str">
        <x:v>找出深圳东海岸三D-HRH-1和深圳奥特莱斯D-HRH-3小区的经度和站点名称。</x:v>
      </x:c>
      <x:c r="C397" s="23" t="str">
        <x:v>查询小区深圳东海岸三D-HRH-1和深圳奥特莱斯D-HRH-3的经度(longitude)和站点名称(siteName)</x:v>
      </x:c>
      <x:c r="D397" s="23" t="str">
        <x:v>AICO Tool Call - Workflow</x:v>
      </x:c>
      <x:c r="E397" s="23" t="str">
        <x:v>Workflow</x:v>
      </x:c>
      <x:c r="F397" s="21" t="n">
        <x:v>1</x:v>
      </x:c>
      <x:c r="G397" s="21" t="str">
        <x:v>2026-08-12T10:29:59.533</x:v>
      </x:c>
      <x:c r="H397" s="36" t="n">
        <x:v>5460.445</x:v>
      </x:c>
      <x:c r="I397" s="36" t="n">
        <x:f>H397/1000</x:f>
        <x:v>5.460445</x:v>
      </x:c>
      <x:c r="J397" s="21" t="str">
        <x:v>data2/dsv4_2_aico.jsonl</x:v>
      </x:c>
      <x:c r="K397" s="21" t="n">
        <x:v>177</x:v>
      </x:c>
      <x:c r="L397" s="21" t="str">
        <x:v>original精确文本</x:v>
      </x:c>
    </x:row>
    <x:row r="398">
      <x:c r="A398" s="38" t="n">
        <x:v>49</x:v>
      </x:c>
      <x:c r="B398" s="23" t="str">
        <x:v>找出深圳东海岸三D-HRH-1和深圳奥特莱斯D-HRH-3小区的经度和站点名称。</x:v>
      </x:c>
      <x:c r="C398" s="23" t="str">
        <x:v>查询小区深圳东海岸三D-HRH-1和深圳奥特莱斯D-HRH-3的经度(longitude)和站点名称(siteName)</x:v>
      </x:c>
      <x:c r="D398" s="23" t="str">
        <x:v>Recipe - DeepSeek</x:v>
      </x:c>
      <x:c r="E398" s="23" t="str">
        <x:v>DeepSeek recipe调用</x:v>
      </x:c>
      <x:c r="F398" s="21" t="n">
        <x:v>1</x:v>
      </x:c>
      <x:c r="G398" s="21" t="str">
        <x:v>2026-08-12T10:30:06.598</x:v>
      </x:c>
      <x:c r="H398" s="36" t="n">
        <x:v>3456.362</x:v>
      </x:c>
      <x:c r="I398" s="36" t="n">
        <x:f>H398/1000</x:f>
        <x:v>3.456362</x:v>
      </x:c>
      <x:c r="J398" s="21" t="str">
        <x:v>data2/dsv4_2_recipe_ds.jsonl</x:v>
      </x:c>
      <x:c r="K398" s="21" t="n">
        <x:v>105</x:v>
      </x:c>
      <x:c r="L398" s="21" t="str">
        <x:v>processed精确文本</x:v>
      </x:c>
    </x:row>
    <x:row r="399">
      <x:c r="A399" s="38" t="n">
        <x:v>49</x:v>
      </x:c>
      <x:c r="B399" s="23" t="str">
        <x:v>找出深圳东海岸三D-HRH-1和深圳奥特莱斯D-HRH-3小区的经度和站点名称。</x:v>
      </x:c>
      <x:c r="C399" s="23" t="str">
        <x:v>查询小区深圳东海岸三D-HRH-1和深圳奥特莱斯D-HRH-3的经度(longitude)和站点名称(siteName)</x:v>
      </x:c>
      <x:c r="D399" s="23" t="str">
        <x:v>Recipe - Qwen执行</x:v>
      </x:c>
      <x:c r="E399" s="23" t="str">
        <x:v>同一问题第1次Qwen调用</x:v>
      </x:c>
      <x:c r="F399" s="21" t="n">
        <x:v>1</x:v>
      </x:c>
      <x:c r="G399" s="21" t="str">
        <x:v>2026-08-12T10:30:10.418</x:v>
      </x:c>
      <x:c r="H399" s="36" t="n">
        <x:v>1283.099</x:v>
      </x:c>
      <x:c r="I399" s="36" t="n">
        <x:f>H399/1000</x:f>
        <x:v>1.283099</x:v>
      </x:c>
      <x:c r="J399" s="21" t="str">
        <x:v>data2/qwen3_2.jsonl</x:v>
      </x:c>
      <x:c r="K399" s="21" t="n">
        <x:v>116</x:v>
      </x:c>
      <x:c r="L399" s="21" t="str">
        <x:v>processed精确文本</x:v>
      </x:c>
    </x:row>
    <x:row r="400">
      <x:c r="A400" s="38" t="n">
        <x:v>49</x:v>
      </x:c>
      <x:c r="B400" s="23" t="str">
        <x:v>找出深圳东海岸三D-HRH-1和深圳奥特莱斯D-HRH-3小区的经度和站点名称。</x:v>
      </x:c>
      <x:c r="C400" s="23" t="str">
        <x:v>查询小区深圳东海岸三D-HRH-1和深圳奥特莱斯D-HRH-3的经度(longitude)和站点名称(siteName)</x:v>
      </x:c>
      <x:c r="D400" s="23" t="str">
        <x:v>Recipe - Qwen总结</x:v>
      </x:c>
      <x:c r="E400" s="23" t="str">
        <x:v>同一问题最后一次Qwen调用</x:v>
      </x:c>
      <x:c r="F400" s="21" t="n">
        <x:v>1</x:v>
      </x:c>
      <x:c r="G400" s="21" t="str">
        <x:v>2026-08-12T10:30:12.214</x:v>
      </x:c>
      <x:c r="H400" s="36" t="n">
        <x:v>1849.744</x:v>
      </x:c>
      <x:c r="I400" s="36" t="n">
        <x:f>H400/1000</x:f>
        <x:v>1.8497439999999998</x:v>
      </x:c>
      <x:c r="J400" s="21" t="str">
        <x:v>data2/qwen3_2.jsonl</x:v>
      </x:c>
      <x:c r="K400" s="21" t="n">
        <x:v>117</x:v>
      </x:c>
      <x:c r="L400" s="21" t="str">
        <x:v>processed精确文本</x:v>
      </x:c>
    </x:row>
    <x:row r="401">
      <x:c r="A401" s="38" t="n">
        <x:v>49</x:v>
      </x:c>
      <x:c r="B401" s="23" t="str">
        <x:v>找出深圳东海岸三D-HRH-1和深圳奥特莱斯D-HRH-3小区的经度和站点名称。</x:v>
      </x:c>
      <x:c r="C401" s="23" t="str">
        <x:v>查询小区深圳东海岸三D-HRH-1和深圳奥特莱斯D-HRH-3的经度(longitude)和站点名称(siteName)</x:v>
      </x:c>
      <x:c r="D401" s="23" t="str">
        <x:v>AICO总结</x:v>
      </x:c>
      <x:c r="E401" s="23" t="str">
        <x:v>无tool_calls</x:v>
      </x:c>
      <x:c r="F401" s="21" t="n">
        <x:v>1</x:v>
      </x:c>
      <x:c r="G401" s="21" t="str">
        <x:v>2026-08-12T10:30:14.332</x:v>
      </x:c>
      <x:c r="H401" s="36" t="n">
        <x:v>7899.741</x:v>
      </x:c>
      <x:c r="I401" s="36" t="n">
        <x:f>H401/1000</x:f>
        <x:v>7.899741</x:v>
      </x:c>
      <x:c r="J401" s="21" t="str">
        <x:v>data2/dsv4_2_aico.jsonl</x:v>
      </x:c>
      <x:c r="K401" s="21" t="n">
        <x:v>178</x:v>
      </x:c>
      <x:c r="L401" s="21" t="str">
        <x:v>original精确文本</x:v>
      </x:c>
    </x:row>
    <x:row r="402">
      <x:c r="A402" s="38" t="n">
        <x:v>49</x:v>
      </x:c>
      <x:c r="B402" s="23" t="str">
        <x:v>找出深圳东海岸三D-HRH-1和深圳奥特莱斯D-HRH-3小区的经度和站点名称。</x:v>
      </x:c>
      <x:c r="C402" s="23" t="str">
        <x:v>查询小区深圳东海岸三D-HRH-1和深圳奥特莱斯D-HRH-3的经度(longitude)和站点名称(siteName)</x:v>
      </x:c>
      <x:c r="D402" s="23" t="str">
        <x:v>问题推荐</x:v>
      </x:c>
      <x:c r="E402" s="23" t="str">
        <x:v>后续问题推荐</x:v>
      </x:c>
      <x:c r="F402" s="21" t="n">
        <x:v>1</x:v>
      </x:c>
      <x:c r="G402" s="21" t="str">
        <x:v>2026-08-12T10:30:22.544</x:v>
      </x:c>
      <x:c r="H402" s="36" t="n">
        <x:v>7762.422</x:v>
      </x:c>
      <x:c r="I402" s="36" t="n">
        <x:f>H402/1000</x:f>
        <x:v>7.762422</x:v>
      </x:c>
      <x:c r="J402" s="21" t="str">
        <x:v>data2/dsv4_2_recipe_ds.jsonl</x:v>
      </x:c>
      <x:c r="K402" s="21" t="n">
        <x:v>106</x:v>
      </x:c>
      <x:c r="L402" s="21" t="str">
        <x:v>original精确文本</x:v>
      </x:c>
    </x:row>
    <x:row r="403">
      <x:c r="A403" s="38" t="n">
        <x:v>50</x:v>
      </x:c>
      <x:c r="B403" s="23" t="str">
        <x:v>确认一下CBN-福州马尾-高铁鼓山1号隧道出口（左侧）C-HRRH和CBN-深圳东华风车U-H5H这两个站点下小区的方位角、电子下倾角和机械下倾角。</x:v>
      </x:c>
      <x:c r="C403" s="23" t="str">
        <x:v>查询站点CBN-福州马尾-高铁鼓山1号隧道出口（左侧）C-HRRH下所有小区的方位角、电子下倾角和机械下倾角</x:v>
      </x:c>
      <x:c r="D403" s="23" t="str">
        <x:v>AICO Tool Call - Skill</x:v>
      </x:c>
      <x:c r="E403" s="23" t="str">
        <x:v>Skill</x:v>
      </x:c>
      <x:c r="F403" s="21" t="n">
        <x:v>1</x:v>
      </x:c>
      <x:c r="G403" s="21" t="str">
        <x:v>2026-08-12T10:30:23.396</x:v>
      </x:c>
      <x:c r="H403" s="36" t="n">
        <x:v>10030.809</x:v>
      </x:c>
      <x:c r="I403" s="36" t="n">
        <x:f>H403/1000</x:f>
        <x:v>10.030809</x:v>
      </x:c>
      <x:c r="J403" s="21" t="str">
        <x:v>data2/dsv4_2_aico.jsonl</x:v>
      </x:c>
      <x:c r="K403" s="21" t="n">
        <x:v>179</x:v>
      </x:c>
      <x:c r="L403" s="21" t="str">
        <x:v>original精确文本</x:v>
      </x:c>
    </x:row>
    <x:row r="404">
      <x:c r="A404" s="38" t="n">
        <x:v>50</x:v>
      </x:c>
      <x:c r="B404" s="23" t="str">
        <x:v>确认一下CBN-福州马尾-高铁鼓山1号隧道出口（左侧）C-HRRH和CBN-深圳东华风车U-H5H这两个站点下小区的方位角、电子下倾角和机械下倾角。</x:v>
      </x:c>
      <x:c r="C404" s="23" t="str">
        <x:v>查询站点CBN-福州马尾-高铁鼓山1号隧道出口（左侧）C-HRRH下所有小区的方位角、电子下倾角和机械下倾角</x:v>
      </x:c>
      <x:c r="D404" s="23" t="str">
        <x:v>AICO Tool Call - Workflow</x:v>
      </x:c>
      <x:c r="E404" s="23" t="str">
        <x:v>Workflow</x:v>
      </x:c>
      <x:c r="F404" s="21" t="n">
        <x:v>1</x:v>
      </x:c>
      <x:c r="G404" s="21" t="str">
        <x:v>2026-08-12T10:30:33.632</x:v>
      </x:c>
      <x:c r="H404" s="36" t="n">
        <x:v>5714.615</x:v>
      </x:c>
      <x:c r="I404" s="36" t="n">
        <x:f>H404/1000</x:f>
        <x:v>5.714615</x:v>
      </x:c>
      <x:c r="J404" s="21" t="str">
        <x:v>data2/dsv4_2_aico.jsonl</x:v>
      </x:c>
      <x:c r="K404" s="21" t="n">
        <x:v>180</x:v>
      </x:c>
      <x:c r="L404" s="21" t="str">
        <x:v>original精确文本</x:v>
      </x:c>
    </x:row>
    <x:row r="405">
      <x:c r="A405" s="38" t="n">
        <x:v>50</x:v>
      </x:c>
      <x:c r="B405" s="23" t="str">
        <x:v>确认一下CBN-福州马尾-高铁鼓山1号隧道出口（左侧）C-HRRH和CBN-深圳东华风车U-H5H这两个站点下小区的方位角、电子下倾角和机械下倾角。</x:v>
      </x:c>
      <x:c r="C405" s="23" t="str">
        <x:v>查询站点CBN-福州马尾-高铁鼓山1号隧道出口（左侧）C-HRRH下所有小区的方位角、电子下倾角和机械下倾角</x:v>
      </x:c>
      <x:c r="D405" s="23" t="str">
        <x:v>Recipe - DeepSeek</x:v>
      </x:c>
      <x:c r="E405" s="23" t="str">
        <x:v>DeepSeek recipe调用</x:v>
      </x:c>
      <x:c r="F405" s="21" t="n">
        <x:v>1</x:v>
      </x:c>
      <x:c r="G405" s="21" t="str">
        <x:v>2026-08-12T10:30:40.738</x:v>
      </x:c>
      <x:c r="H405" s="36" t="n">
        <x:v>3759.196</x:v>
      </x:c>
      <x:c r="I405" s="36" t="n">
        <x:f>H405/1000</x:f>
        <x:v>3.7591959999999998</x:v>
      </x:c>
      <x:c r="J405" s="21" t="str">
        <x:v>data2/dsv4_2_recipe_ds.jsonl</x:v>
      </x:c>
      <x:c r="K405" s="21" t="n">
        <x:v>107</x:v>
      </x:c>
      <x:c r="L405" s="21" t="str">
        <x:v>processed精确文本</x:v>
      </x:c>
    </x:row>
    <x:row r="406">
      <x:c r="A406" s="38" t="n">
        <x:v>50</x:v>
      </x:c>
      <x:c r="B406" s="23" t="str">
        <x:v>确认一下CBN-福州马尾-高铁鼓山1号隧道出口（左侧）C-HRRH和CBN-深圳东华风车U-H5H这两个站点下小区的方位角、电子下倾角和机械下倾角。</x:v>
      </x:c>
      <x:c r="C406" s="23" t="str">
        <x:v>查询站点CBN-福州马尾-高铁鼓山1号隧道出口（左侧）C-HRRH下所有小区的方位角、电子下倾角和机械下倾角</x:v>
      </x:c>
      <x:c r="D406" s="23" t="str">
        <x:v>Recipe - Qwen执行</x:v>
      </x:c>
      <x:c r="E406" s="23" t="str">
        <x:v>同一问题第1次Qwen调用</x:v>
      </x:c>
      <x:c r="F406" s="21" t="n">
        <x:v>1</x:v>
      </x:c>
      <x:c r="G406" s="21" t="str">
        <x:v>2026-08-12T10:30:44.833</x:v>
      </x:c>
      <x:c r="H406" s="36" t="n">
        <x:v>1335.193</x:v>
      </x:c>
      <x:c r="I406" s="36" t="n">
        <x:f>H406/1000</x:f>
        <x:v>1.335193</x:v>
      </x:c>
      <x:c r="J406" s="21" t="str">
        <x:v>data2/qwen3_2.jsonl</x:v>
      </x:c>
      <x:c r="K406" s="21" t="n">
        <x:v>118</x:v>
      </x:c>
      <x:c r="L406" s="21" t="str">
        <x:v>processed精确文本</x:v>
      </x:c>
    </x:row>
    <x:row r="407">
      <x:c r="A407" s="38" t="n">
        <x:v>50</x:v>
      </x:c>
      <x:c r="B407" s="23" t="str">
        <x:v>确认一下CBN-福州马尾-高铁鼓山1号隧道出口（左侧）C-HRRH和CBN-深圳东华风车U-H5H这两个站点下小区的方位角、电子下倾角和机械下倾角。</x:v>
      </x:c>
      <x:c r="C407" s="23" t="str">
        <x:v>查询站点CBN-福州马尾-高铁鼓山1号隧道出口（左侧）C-HRRH下所有小区的方位角、电子下倾角和机械下倾角</x:v>
      </x:c>
      <x:c r="D407" s="23" t="str">
        <x:v>Recipe - Qwen执行</x:v>
      </x:c>
      <x:c r="E407" s="23" t="str">
        <x:v>同一问题第2次Qwen调用</x:v>
      </x:c>
      <x:c r="F407" s="21" t="n">
        <x:v>2</x:v>
      </x:c>
      <x:c r="G407" s="21" t="str">
        <x:v>2026-08-12T10:30:46.653</x:v>
      </x:c>
      <x:c r="H407" s="36" t="n">
        <x:v>2019.752</x:v>
      </x:c>
      <x:c r="I407" s="36" t="n">
        <x:f>H407/1000</x:f>
        <x:v>2.019752</x:v>
      </x:c>
      <x:c r="J407" s="21" t="str">
        <x:v>data2/qwen3_2.jsonl</x:v>
      </x:c>
      <x:c r="K407" s="21" t="n">
        <x:v>119</x:v>
      </x:c>
      <x:c r="L407" s="21" t="str">
        <x:v>processed精确文本</x:v>
      </x:c>
    </x:row>
    <x:row r="408">
      <x:c r="A408" s="38" t="n">
        <x:v>50</x:v>
      </x:c>
      <x:c r="B408" s="23" t="str">
        <x:v>确认一下CBN-福州马尾-高铁鼓山1号隧道出口（左侧）C-HRRH和CBN-深圳东华风车U-H5H这两个站点下小区的方位角、电子下倾角和机械下倾角。</x:v>
      </x:c>
      <x:c r="C408" s="23" t="str">
        <x:v>查询站点CBN-福州马尾-高铁鼓山1号隧道出口（左侧）C-HRRH下所有小区的方位角、电子下倾角和机械下倾角</x:v>
      </x:c>
      <x:c r="D408" s="23" t="str">
        <x:v>AICO Tool Call - Workflow</x:v>
      </x:c>
      <x:c r="E408" s="23" t="str">
        <x:v>Workflow</x:v>
      </x:c>
      <x:c r="F408" s="21" t="n">
        <x:v>2</x:v>
      </x:c>
      <x:c r="G408" s="21" t="str">
        <x:v>2026-08-12T10:30:48.932</x:v>
      </x:c>
      <x:c r="H408" s="36" t="n">
        <x:v>5749.924</x:v>
      </x:c>
      <x:c r="I408" s="36" t="n">
        <x:f>H408/1000</x:f>
        <x:v>5.749924</x:v>
      </x:c>
      <x:c r="J408" s="21" t="str">
        <x:v>data2/dsv4_2_aico.jsonl</x:v>
      </x:c>
      <x:c r="K408" s="21" t="n">
        <x:v>181</x:v>
      </x:c>
      <x:c r="L408" s="21" t="str">
        <x:v>original精确文本</x:v>
      </x:c>
    </x:row>
    <x:row r="409">
      <x:c r="A409" s="38" t="n">
        <x:v>50</x:v>
      </x:c>
      <x:c r="B409" s="23" t="str">
        <x:v>确认一下CBN-福州马尾-高铁鼓山1号隧道出口（左侧）C-HRRH和CBN-深圳东华风车U-H5H这两个站点下小区的方位角、电子下倾角和机械下倾角。</x:v>
      </x:c>
      <x:c r="C409" s="23" t="str">
        <x:v>查询站点CBN-福州马尾-高铁鼓山1号隧道出口（左侧）C-HRRH下所有小区的方位角、电子下倾角和机械下倾角</x:v>
      </x:c>
      <x:c r="D409" s="23" t="str">
        <x:v>Recipe - DeepSeek</x:v>
      </x:c>
      <x:c r="E409" s="23" t="str">
        <x:v>DeepSeek recipe调用</x:v>
      </x:c>
      <x:c r="F409" s="21" t="n">
        <x:v>2</x:v>
      </x:c>
      <x:c r="G409" s="21" t="str">
        <x:v>2026-08-12T10:30:55.800</x:v>
      </x:c>
      <x:c r="H409" s="36" t="n">
        <x:v>3484.209</x:v>
      </x:c>
      <x:c r="I409" s="36" t="n">
        <x:f>H409/1000</x:f>
        <x:v>3.484209</x:v>
      </x:c>
      <x:c r="J409" s="21" t="str">
        <x:v>data2/dsv4_2_recipe_ds.jsonl</x:v>
      </x:c>
      <x:c r="K409" s="21" t="n">
        <x:v>108</x:v>
      </x:c>
      <x:c r="L409" s="21" t="str">
        <x:v>时间顺序回退</x:v>
      </x:c>
    </x:row>
    <x:row r="410">
      <x:c r="A410" s="38" t="n">
        <x:v>50</x:v>
      </x:c>
      <x:c r="B410" s="23" t="str">
        <x:v>确认一下CBN-福州马尾-高铁鼓山1号隧道出口（左侧）C-HRRH和CBN-深圳东华风车U-H5H这两个站点下小区的方位角、电子下倾角和机械下倾角。</x:v>
      </x:c>
      <x:c r="C410" s="23" t="str">
        <x:v>查询站点CBN-福州马尾-高铁鼓山1号隧道出口（左侧）C-HRRH下所有小区的方位角、电子下倾角和机械下倾角</x:v>
      </x:c>
      <x:c r="D410" s="23" t="str">
        <x:v>Recipe - Qwen执行</x:v>
      </x:c>
      <x:c r="E410" s="23" t="str">
        <x:v>同一问题第3次Qwen调用</x:v>
      </x:c>
      <x:c r="F410" s="21" t="n">
        <x:v>3</x:v>
      </x:c>
      <x:c r="G410" s="21" t="str">
        <x:v>2026-08-12T10:30:59.605</x:v>
      </x:c>
      <x:c r="H410" s="36" t="n">
        <x:v>1271.264</x:v>
      </x:c>
      <x:c r="I410" s="36" t="n">
        <x:f>H410/1000</x:f>
        <x:v>1.271264</x:v>
      </x:c>
      <x:c r="J410" s="21" t="str">
        <x:v>data2/qwen3_2.jsonl</x:v>
      </x:c>
      <x:c r="K410" s="21" t="n">
        <x:v>120</x:v>
      </x:c>
      <x:c r="L410" s="21" t="str">
        <x:v>时间顺序回退</x:v>
      </x:c>
    </x:row>
    <x:row r="411">
      <x:c r="A411" s="38" t="n">
        <x:v>50</x:v>
      </x:c>
      <x:c r="B411" s="23" t="str">
        <x:v>确认一下CBN-福州马尾-高铁鼓山1号隧道出口（左侧）C-HRRH和CBN-深圳东华风车U-H5H这两个站点下小区的方位角、电子下倾角和机械下倾角。</x:v>
      </x:c>
      <x:c r="C411" s="23" t="str">
        <x:v>查询站点CBN-福州马尾-高铁鼓山1号隧道出口（左侧）C-HRRH下所有小区的方位角、电子下倾角和机械下倾角</x:v>
      </x:c>
      <x:c r="D411" s="23" t="str">
        <x:v>Recipe - Qwen总结</x:v>
      </x:c>
      <x:c r="E411" s="23" t="str">
        <x:v>同一问题最后一次Qwen调用</x:v>
      </x:c>
      <x:c r="F411" s="21" t="n">
        <x:v>1</x:v>
      </x:c>
      <x:c r="G411" s="21" t="str">
        <x:v>2026-08-12T10:31:01.383</x:v>
      </x:c>
      <x:c r="H411" s="36" t="n">
        <x:v>1943.653</x:v>
      </x:c>
      <x:c r="I411" s="36" t="n">
        <x:f>H411/1000</x:f>
        <x:v>1.943653</x:v>
      </x:c>
      <x:c r="J411" s="21" t="str">
        <x:v>data2/qwen3_2.jsonl</x:v>
      </x:c>
      <x:c r="K411" s="21" t="n">
        <x:v>121</x:v>
      </x:c>
      <x:c r="L411" s="21" t="str">
        <x:v>时间顺序回退</x:v>
      </x:c>
    </x:row>
    <x:row r="412">
      <x:c r="A412" s="38" t="n">
        <x:v>50</x:v>
      </x:c>
      <x:c r="B412" s="23" t="str">
        <x:v>确认一下CBN-福州马尾-高铁鼓山1号隧道出口（左侧）C-HRRH和CBN-深圳东华风车U-H5H这两个站点下小区的方位角、电子下倾角和机械下倾角。</x:v>
      </x:c>
      <x:c r="C412" s="23" t="str">
        <x:v>查询站点CBN-福州马尾-高铁鼓山1号隧道出口（左侧）C-HRRH下所有小区的方位角、电子下倾角和机械下倾角</x:v>
      </x:c>
      <x:c r="D412" s="23" t="str">
        <x:v>AICO总结</x:v>
      </x:c>
      <x:c r="E412" s="23" t="str">
        <x:v>无tool_calls</x:v>
      </x:c>
      <x:c r="F412" s="21" t="n">
        <x:v>1</x:v>
      </x:c>
      <x:c r="G412" s="21" t="str">
        <x:v>2026-08-12T10:31:03.585</x:v>
      </x:c>
      <x:c r="H412" s="36" t="n">
        <x:v>7966.219</x:v>
      </x:c>
      <x:c r="I412" s="36" t="n">
        <x:f>H412/1000</x:f>
        <x:v>7.966219</x:v>
      </x:c>
      <x:c r="J412" s="21" t="str">
        <x:v>data2/dsv4_2_aico.jsonl</x:v>
      </x:c>
      <x:c r="K412" s="21" t="n">
        <x:v>182</x:v>
      </x:c>
      <x:c r="L412" s="21" t="str">
        <x:v>original精确文本</x:v>
      </x:c>
    </x:row>
    <x:row r="413">
      <x:c r="A413" s="38" t="n">
        <x:v>50</x:v>
      </x:c>
      <x:c r="B413" s="23" t="str">
        <x:v>确认一下CBN-福州马尾-高铁鼓山1号隧道出口（左侧）C-HRRH和CBN-深圳东华风车U-H5H这两个站点下小区的方位角、电子下倾角和机械下倾角。</x:v>
      </x:c>
      <x:c r="C413" s="23" t="str">
        <x:v>查询站点CBN-福州马尾-高铁鼓山1号隧道出口（左侧）C-HRRH下所有小区的方位角、电子下倾角和机械下倾角</x:v>
      </x:c>
      <x:c r="D413" s="23" t="str">
        <x:v>问题推荐</x:v>
      </x:c>
      <x:c r="E413" s="23" t="str">
        <x:v>后续问题推荐</x:v>
      </x:c>
      <x:c r="F413" s="21" t="n">
        <x:v>1</x:v>
      </x:c>
      <x:c r="G413" s="21" t="str">
        <x:v>2026-08-12T10:31:11.829</x:v>
      </x:c>
      <x:c r="H413" s="36" t="n">
        <x:v>6017.62</x:v>
      </x:c>
      <x:c r="I413" s="36" t="n">
        <x:f>H413/1000</x:f>
        <x:v>6.01762</x:v>
      </x:c>
      <x:c r="J413" s="21" t="str">
        <x:v>data2/dsv4_2_recipe_ds.jsonl</x:v>
      </x:c>
      <x:c r="K413" s="21" t="n">
        <x:v>109</x:v>
      </x:c>
      <x:c r="L413" s="21" t="str">
        <x:v>original精确文本</x:v>
      </x:c>
    </x:row>
    <x:row r="414">
      <x:c r="A414" s="38" t="n">
        <x:v>51</x:v>
      </x:c>
      <x:c r="B414" s="23" t="str">
        <x:v>帮我查一下深圳大梅沙D-HRH站点下5G小区的方位角和电子下倾角。</x:v>
      </x:c>
      <x:c r="C414" s="23" t="str">
        <x:v>查询深圳大梅沙D-HRH站点下5G小区的方位角和电子下倾角</x:v>
      </x:c>
      <x:c r="D414" s="23" t="str">
        <x:v>AICO Tool Call - Skill</x:v>
      </x:c>
      <x:c r="E414" s="23" t="str">
        <x:v>Skill</x:v>
      </x:c>
      <x:c r="F414" s="21" t="n">
        <x:v>1</x:v>
      </x:c>
      <x:c r="G414" s="21" t="str">
        <x:v>2026-08-12T10:31:12.736</x:v>
      </x:c>
      <x:c r="H414" s="36" t="n">
        <x:v>5599.69</x:v>
      </x:c>
      <x:c r="I414" s="36" t="n">
        <x:f>H414/1000</x:f>
        <x:v>5.59969</x:v>
      </x:c>
      <x:c r="J414" s="21" t="str">
        <x:v>data2/dsv4_2_aico.jsonl</x:v>
      </x:c>
      <x:c r="K414" s="21" t="n">
        <x:v>183</x:v>
      </x:c>
      <x:c r="L414" s="21" t="str">
        <x:v>original精确文本</x:v>
      </x:c>
    </x:row>
    <x:row r="415">
      <x:c r="A415" s="38" t="n">
        <x:v>51</x:v>
      </x:c>
      <x:c r="B415" s="23" t="str">
        <x:v>帮我查一下深圳大梅沙D-HRH站点下5G小区的方位角和电子下倾角。</x:v>
      </x:c>
      <x:c r="C415" s="23" t="str">
        <x:v>查询深圳大梅沙D-HRH站点下5G小区的方位角和电子下倾角</x:v>
      </x:c>
      <x:c r="D415" s="23" t="str">
        <x:v>AICO Tool Call - Workflow</x:v>
      </x:c>
      <x:c r="E415" s="23" t="str">
        <x:v>Workflow</x:v>
      </x:c>
      <x:c r="F415" s="21" t="n">
        <x:v>1</x:v>
      </x:c>
      <x:c r="G415" s="21" t="str">
        <x:v>2026-08-12T10:31:18.491</x:v>
      </x:c>
      <x:c r="H415" s="36" t="n">
        <x:v>5090.635</x:v>
      </x:c>
      <x:c r="I415" s="36" t="n">
        <x:f>H415/1000</x:f>
        <x:v>5.090635</x:v>
      </x:c>
      <x:c r="J415" s="21" t="str">
        <x:v>data2/dsv4_2_aico.jsonl</x:v>
      </x:c>
      <x:c r="K415" s="21" t="n">
        <x:v>184</x:v>
      </x:c>
      <x:c r="L415" s="21" t="str">
        <x:v>original精确文本</x:v>
      </x:c>
    </x:row>
    <x:row r="416">
      <x:c r="A416" s="38" t="n">
        <x:v>51</x:v>
      </x:c>
      <x:c r="B416" s="23" t="str">
        <x:v>帮我查一下深圳大梅沙D-HRH站点下5G小区的方位角和电子下倾角。</x:v>
      </x:c>
      <x:c r="C416" s="23" t="str">
        <x:v>查询深圳大梅沙D-HRH站点下5G小区的方位角和电子下倾角</x:v>
      </x:c>
      <x:c r="D416" s="23" t="str">
        <x:v>Recipe - DeepSeek</x:v>
      </x:c>
      <x:c r="E416" s="23" t="str">
        <x:v>DeepSeek recipe调用</x:v>
      </x:c>
      <x:c r="F416" s="21" t="n">
        <x:v>1</x:v>
      </x:c>
      <x:c r="G416" s="21" t="str">
        <x:v>2026-08-12T10:31:24.894</x:v>
      </x:c>
      <x:c r="H416" s="36" t="n">
        <x:v>3084.521</x:v>
      </x:c>
      <x:c r="I416" s="36" t="n">
        <x:f>H416/1000</x:f>
        <x:v>3.084521</x:v>
      </x:c>
      <x:c r="J416" s="21" t="str">
        <x:v>data2/dsv4_2_recipe_ds.jsonl</x:v>
      </x:c>
      <x:c r="K416" s="21" t="n">
        <x:v>110</x:v>
      </x:c>
      <x:c r="L416" s="21" t="str">
        <x:v>processed精确文本</x:v>
      </x:c>
    </x:row>
    <x:row r="417">
      <x:c r="A417" s="38" t="n">
        <x:v>51</x:v>
      </x:c>
      <x:c r="B417" s="23" t="str">
        <x:v>帮我查一下深圳大梅沙D-HRH站点下5G小区的方位角和电子下倾角。</x:v>
      </x:c>
      <x:c r="C417" s="23" t="str">
        <x:v>查询深圳大梅沙D-HRH站点下5G小区的方位角和电子下倾角</x:v>
      </x:c>
      <x:c r="D417" s="23" t="str">
        <x:v>Recipe - Qwen执行</x:v>
      </x:c>
      <x:c r="E417" s="23" t="str">
        <x:v>同一问题第1次Qwen调用</x:v>
      </x:c>
      <x:c r="F417" s="21" t="n">
        <x:v>1</x:v>
      </x:c>
      <x:c r="G417" s="21" t="str">
        <x:v>2026-08-12T10:31:28.326</x:v>
      </x:c>
      <x:c r="H417" s="36" t="n">
        <x:v>1323.388</x:v>
      </x:c>
      <x:c r="I417" s="36" t="n">
        <x:f>H417/1000</x:f>
        <x:v>1.323388</x:v>
      </x:c>
      <x:c r="J417" s="21" t="str">
        <x:v>data2/qwen3_2.jsonl</x:v>
      </x:c>
      <x:c r="K417" s="21" t="n">
        <x:v>122</x:v>
      </x:c>
      <x:c r="L417" s="21" t="str">
        <x:v>processed精确文本</x:v>
      </x:c>
    </x:row>
    <x:row r="418">
      <x:c r="A418" s="38" t="n">
        <x:v>51</x:v>
      </x:c>
      <x:c r="B418" s="23" t="str">
        <x:v>帮我查一下深圳大梅沙D-HRH站点下5G小区的方位角和电子下倾角。</x:v>
      </x:c>
      <x:c r="C418" s="23" t="str">
        <x:v>查询深圳大梅沙D-HRH站点下5G小区的方位角和电子下倾角</x:v>
      </x:c>
      <x:c r="D418" s="23" t="str">
        <x:v>Recipe - Qwen总结</x:v>
      </x:c>
      <x:c r="E418" s="23" t="str">
        <x:v>同一问题最后一次Qwen调用</x:v>
      </x:c>
      <x:c r="F418" s="21" t="n">
        <x:v>1</x:v>
      </x:c>
      <x:c r="G418" s="21" t="str">
        <x:v>2026-08-12T10:31:30.141</x:v>
      </x:c>
      <x:c r="H418" s="36" t="n">
        <x:v>2623.901</x:v>
      </x:c>
      <x:c r="I418" s="36" t="n">
        <x:f>H418/1000</x:f>
        <x:v>2.623901</x:v>
      </x:c>
      <x:c r="J418" s="21" t="str">
        <x:v>data2/qwen3_2.jsonl</x:v>
      </x:c>
      <x:c r="K418" s="21" t="n">
        <x:v>123</x:v>
      </x:c>
      <x:c r="L418" s="21" t="str">
        <x:v>processed精确文本</x:v>
      </x:c>
    </x:row>
    <x:row r="419">
      <x:c r="A419" s="38" t="n">
        <x:v>51</x:v>
      </x:c>
      <x:c r="B419" s="23" t="str">
        <x:v>帮我查一下深圳大梅沙D-HRH站点下5G小区的方位角和电子下倾角。</x:v>
      </x:c>
      <x:c r="C419" s="23" t="str">
        <x:v>查询深圳大梅沙D-HRH站点下5G小区的方位角和电子下倾角</x:v>
      </x:c>
      <x:c r="D419" s="23" t="str">
        <x:v>AICO总结</x:v>
      </x:c>
      <x:c r="E419" s="23" t="str">
        <x:v>无tool_calls</x:v>
      </x:c>
      <x:c r="F419" s="21" t="n">
        <x:v>1</x:v>
      </x:c>
      <x:c r="G419" s="21" t="str">
        <x:v>2026-08-12T10:31:33.137</x:v>
      </x:c>
      <x:c r="H419" s="36" t="n">
        <x:v>6439.588</x:v>
      </x:c>
      <x:c r="I419" s="36" t="n">
        <x:f>H419/1000</x:f>
        <x:v>6.439588</x:v>
      </x:c>
      <x:c r="J419" s="21" t="str">
        <x:v>data2/dsv4_2_aico.jsonl</x:v>
      </x:c>
      <x:c r="K419" s="21" t="n">
        <x:v>185</x:v>
      </x:c>
      <x:c r="L419" s="21" t="str">
        <x:v>original精确文本</x:v>
      </x:c>
    </x:row>
    <x:row r="420">
      <x:c r="A420" s="38" t="n">
        <x:v>51</x:v>
      </x:c>
      <x:c r="B420" s="23" t="str">
        <x:v>帮我查一下深圳大梅沙D-HRH站点下5G小区的方位角和电子下倾角。</x:v>
      </x:c>
      <x:c r="C420" s="23" t="str">
        <x:v>查询深圳大梅沙D-HRH站点下5G小区的方位角和电子下倾角</x:v>
      </x:c>
      <x:c r="D420" s="23" t="str">
        <x:v>问题推荐</x:v>
      </x:c>
      <x:c r="E420" s="23" t="str">
        <x:v>后续问题推荐</x:v>
      </x:c>
      <x:c r="F420" s="21" t="n">
        <x:v>1</x:v>
      </x:c>
      <x:c r="G420" s="21" t="str">
        <x:v>2026-08-12T10:31:39.873</x:v>
      </x:c>
      <x:c r="H420" s="36" t="n">
        <x:v>8089.634</x:v>
      </x:c>
      <x:c r="I420" s="36" t="n">
        <x:f>H420/1000</x:f>
        <x:v>8.089634</x:v>
      </x:c>
      <x:c r="J420" s="21" t="str">
        <x:v>data2/dsv4_2_recipe_ds.jsonl</x:v>
      </x:c>
      <x:c r="K420" s="21" t="n">
        <x:v>111</x:v>
      </x:c>
      <x:c r="L420" s="21" t="str">
        <x:v>original精确文本</x:v>
      </x:c>
    </x:row>
    <x:row r="421">
      <x:c r="A421" s="38" t="n">
        <x:v>52</x:v>
      </x:c>
      <x:c r="B421" s="23" t="str">
        <x:v>看一下CBN-深圳梅沙湾U-H5H-0711这个NR小区的站点名称和纬度。</x:v>
      </x:c>
      <x:c r="C421" s="23" t="str">
        <x:v>查询NR小区CBN-深圳梅沙湾U-H5H-0711的站点名称和纬度</x:v>
      </x:c>
      <x:c r="D421" s="23" t="str">
        <x:v>AICO Tool Call - Skill</x:v>
      </x:c>
      <x:c r="E421" s="23" t="str">
        <x:v>Skill</x:v>
      </x:c>
      <x:c r="F421" s="21" t="n">
        <x:v>1</x:v>
      </x:c>
      <x:c r="G421" s="21" t="str">
        <x:v>2026-08-12T10:31:40.746</x:v>
      </x:c>
      <x:c r="H421" s="36" t="n">
        <x:v>8363.278</x:v>
      </x:c>
      <x:c r="I421" s="36" t="n">
        <x:f>H421/1000</x:f>
        <x:v>8.363278000000001</x:v>
      </x:c>
      <x:c r="J421" s="21" t="str">
        <x:v>data2/dsv4_2_aico.jsonl</x:v>
      </x:c>
      <x:c r="K421" s="21" t="n">
        <x:v>186</x:v>
      </x:c>
      <x:c r="L421" s="21" t="str">
        <x:v>original精确文本</x:v>
      </x:c>
    </x:row>
    <x:row r="422">
      <x:c r="A422" s="38" t="n">
        <x:v>52</x:v>
      </x:c>
      <x:c r="B422" s="23" t="str">
        <x:v>看一下CBN-深圳梅沙湾U-H5H-0711这个NR小区的站点名称和纬度。</x:v>
      </x:c>
      <x:c r="C422" s="23" t="str">
        <x:v>查询NR小区CBN-深圳梅沙湾U-H5H-0711的站点名称和纬度</x:v>
      </x:c>
      <x:c r="D422" s="23" t="str">
        <x:v>AICO Tool Call - Workflow</x:v>
      </x:c>
      <x:c r="E422" s="23" t="str">
        <x:v>Workflow</x:v>
      </x:c>
      <x:c r="F422" s="21" t="n">
        <x:v>1</x:v>
      </x:c>
      <x:c r="G422" s="21" t="str">
        <x:v>2026-08-12T10:31:49.263</x:v>
      </x:c>
      <x:c r="H422" s="36" t="n">
        <x:v>5173.536</x:v>
      </x:c>
      <x:c r="I422" s="36" t="n">
        <x:f>H422/1000</x:f>
        <x:v>5.173536</x:v>
      </x:c>
      <x:c r="J422" s="21" t="str">
        <x:v>data2/dsv4_2_aico.jsonl</x:v>
      </x:c>
      <x:c r="K422" s="21" t="n">
        <x:v>187</x:v>
      </x:c>
      <x:c r="L422" s="21" t="str">
        <x:v>original精确文本</x:v>
      </x:c>
    </x:row>
    <x:row r="423">
      <x:c r="A423" s="38" t="n">
        <x:v>52</x:v>
      </x:c>
      <x:c r="B423" s="23" t="str">
        <x:v>看一下CBN-深圳梅沙湾U-H5H-0711这个NR小区的站点名称和纬度。</x:v>
      </x:c>
      <x:c r="C423" s="23" t="str">
        <x:v>查询NR小区CBN-深圳梅沙湾U-H5H-0711的站点名称和纬度</x:v>
      </x:c>
      <x:c r="D423" s="23" t="str">
        <x:v>Recipe - DeepSeek</x:v>
      </x:c>
      <x:c r="E423" s="23" t="str">
        <x:v>DeepSeek recipe调用</x:v>
      </x:c>
      <x:c r="F423" s="21" t="n">
        <x:v>1</x:v>
      </x:c>
      <x:c r="G423" s="21" t="str">
        <x:v>2026-08-12T10:31:55.767</x:v>
      </x:c>
      <x:c r="H423" s="36" t="n">
        <x:v>3177.086</x:v>
      </x:c>
      <x:c r="I423" s="36" t="n">
        <x:f>H423/1000</x:f>
        <x:v>3.1770859999999996</x:v>
      </x:c>
      <x:c r="J423" s="21" t="str">
        <x:v>data2/dsv4_2_recipe_ds.jsonl</x:v>
      </x:c>
      <x:c r="K423" s="21" t="n">
        <x:v>112</x:v>
      </x:c>
      <x:c r="L423" s="21" t="str">
        <x:v>processed精确文本</x:v>
      </x:c>
    </x:row>
    <x:row r="424">
      <x:c r="A424" s="38" t="n">
        <x:v>52</x:v>
      </x:c>
      <x:c r="B424" s="23" t="str">
        <x:v>看一下CBN-深圳梅沙湾U-H5H-0711这个NR小区的站点名称和纬度。</x:v>
      </x:c>
      <x:c r="C424" s="23" t="str">
        <x:v>查询NR小区CBN-深圳梅沙湾U-H5H-0711的站点名称和纬度</x:v>
      </x:c>
      <x:c r="D424" s="23" t="str">
        <x:v>Recipe - Qwen执行</x:v>
      </x:c>
      <x:c r="E424" s="23" t="str">
        <x:v>同一问题第1次Qwen调用</x:v>
      </x:c>
      <x:c r="F424" s="21" t="n">
        <x:v>1</x:v>
      </x:c>
      <x:c r="G424" s="21" t="str">
        <x:v>2026-08-12T10:31:59.263</x:v>
      </x:c>
      <x:c r="H424" s="36" t="n">
        <x:v>1366.422</x:v>
      </x:c>
      <x:c r="I424" s="36" t="n">
        <x:f>H424/1000</x:f>
        <x:v>1.366422</x:v>
      </x:c>
      <x:c r="J424" s="21" t="str">
        <x:v>data2/qwen3_2.jsonl</x:v>
      </x:c>
      <x:c r="K424" s="21" t="n">
        <x:v>124</x:v>
      </x:c>
      <x:c r="L424" s="21" t="str">
        <x:v>processed精确文本</x:v>
      </x:c>
    </x:row>
    <x:row r="425">
      <x:c r="A425" s="38" t="n">
        <x:v>52</x:v>
      </x:c>
      <x:c r="B425" s="23" t="str">
        <x:v>看一下CBN-深圳梅沙湾U-H5H-0711这个NR小区的站点名称和纬度。</x:v>
      </x:c>
      <x:c r="C425" s="23" t="str">
        <x:v>查询NR小区CBN-深圳梅沙湾U-H5H-0711的站点名称和纬度</x:v>
      </x:c>
      <x:c r="D425" s="23" t="str">
        <x:v>Recipe - Qwen总结</x:v>
      </x:c>
      <x:c r="E425" s="23" t="str">
        <x:v>同一问题最后一次Qwen调用</x:v>
      </x:c>
      <x:c r="F425" s="21" t="n">
        <x:v>1</x:v>
      </x:c>
      <x:c r="G425" s="21" t="str">
        <x:v>2026-08-12T10:32:01.126</x:v>
      </x:c>
      <x:c r="H425" s="36" t="n">
        <x:v>1569.187</x:v>
      </x:c>
      <x:c r="I425" s="36" t="n">
        <x:f>H425/1000</x:f>
        <x:v>1.5691869999999999</x:v>
      </x:c>
      <x:c r="J425" s="21" t="str">
        <x:v>data2/qwen3_2.jsonl</x:v>
      </x:c>
      <x:c r="K425" s="21" t="n">
        <x:v>125</x:v>
      </x:c>
      <x:c r="L425" s="21" t="str">
        <x:v>processed精确文本</x:v>
      </x:c>
    </x:row>
    <x:row r="426">
      <x:c r="A426" s="38" t="n">
        <x:v>52</x:v>
      </x:c>
      <x:c r="B426" s="23" t="str">
        <x:v>看一下CBN-深圳梅沙湾U-H5H-0711这个NR小区的站点名称和纬度。</x:v>
      </x:c>
      <x:c r="C426" s="23" t="str">
        <x:v>查询NR小区CBN-深圳梅沙湾U-H5H-0711的站点名称和纬度</x:v>
      </x:c>
      <x:c r="D426" s="23" t="str">
        <x:v>AICO总结</x:v>
      </x:c>
      <x:c r="E426" s="23" t="str">
        <x:v>无tool_calls</x:v>
      </x:c>
      <x:c r="F426" s="21" t="n">
        <x:v>1</x:v>
      </x:c>
      <x:c r="G426" s="21" t="str">
        <x:v>2026-08-12T10:32:02.954</x:v>
      </x:c>
      <x:c r="H426" s="36" t="n">
        <x:v>7152.633</x:v>
      </x:c>
      <x:c r="I426" s="36" t="n">
        <x:f>H426/1000</x:f>
        <x:v>7.152633</x:v>
      </x:c>
      <x:c r="J426" s="21" t="str">
        <x:v>data2/dsv4_2_aico.jsonl</x:v>
      </x:c>
      <x:c r="K426" s="21" t="n">
        <x:v>188</x:v>
      </x:c>
      <x:c r="L426" s="21" t="str">
        <x:v>original精确文本</x:v>
      </x:c>
    </x:row>
    <x:row r="427">
      <x:c r="A427" s="38" t="n">
        <x:v>52</x:v>
      </x:c>
      <x:c r="B427" s="23" t="str">
        <x:v>看一下CBN-深圳梅沙湾U-H5H-0711这个NR小区的站点名称和纬度。</x:v>
      </x:c>
      <x:c r="C427" s="23" t="str">
        <x:v>查询NR小区CBN-深圳梅沙湾U-H5H-0711的站点名称和纬度</x:v>
      </x:c>
      <x:c r="D427" s="23" t="str">
        <x:v>问题推荐</x:v>
      </x:c>
      <x:c r="E427" s="23" t="str">
        <x:v>后续问题推荐</x:v>
      </x:c>
      <x:c r="F427" s="21" t="n">
        <x:v>1</x:v>
      </x:c>
      <x:c r="G427" s="21" t="str">
        <x:v>2026-08-12T10:32:10.415</x:v>
      </x:c>
      <x:c r="H427" s="36" t="n">
        <x:v>5420.444</x:v>
      </x:c>
      <x:c r="I427" s="36" t="n">
        <x:f>H427/1000</x:f>
        <x:v>5.420444000000001</x:v>
      </x:c>
      <x:c r="J427" s="21" t="str">
        <x:v>data2/dsv4_2_recipe_ds.jsonl</x:v>
      </x:c>
      <x:c r="K427" s="21" t="n">
        <x:v>113</x:v>
      </x:c>
      <x:c r="L427" s="21" t="str">
        <x:v>original精确文本</x:v>
      </x:c>
    </x:row>
    <x:row r="428">
      <x:c r="A428" s="38" t="n">
        <x:v>53</x:v>
      </x:c>
      <x:c r="B428" s="23" t="str">
        <x:v>找出深圳奥特莱斯D-HRH-1和深圳奥特莱斯D-HRH-2这两个5G小区的经度和设备厂商。</x:v>
      </x:c>
      <x:c r="C428" s="23" t="str">
        <x:v>查询深圳奥特莱斯D-HRH-1和深圳奥特莱斯D-HRH-2这两个5G小区的经度和设备厂商</x:v>
      </x:c>
      <x:c r="D428" s="23" t="str">
        <x:v>AICO Tool Call - Skill</x:v>
      </x:c>
      <x:c r="E428" s="23" t="str">
        <x:v>Skill</x:v>
      </x:c>
      <x:c r="F428" s="21" t="n">
        <x:v>1</x:v>
      </x:c>
      <x:c r="G428" s="21" t="str">
        <x:v>2026-08-12T10:32:11.294</x:v>
      </x:c>
      <x:c r="H428" s="36" t="n">
        <x:v>5642.268</x:v>
      </x:c>
      <x:c r="I428" s="36" t="n">
        <x:f>H428/1000</x:f>
        <x:v>5.642268</x:v>
      </x:c>
      <x:c r="J428" s="21" t="str">
        <x:v>data2/dsv4_2_aico.jsonl</x:v>
      </x:c>
      <x:c r="K428" s="21" t="n">
        <x:v>189</x:v>
      </x:c>
      <x:c r="L428" s="21" t="str">
        <x:v>original精确文本</x:v>
      </x:c>
    </x:row>
    <x:row r="429">
      <x:c r="A429" s="38" t="n">
        <x:v>53</x:v>
      </x:c>
      <x:c r="B429" s="23" t="str">
        <x:v>找出深圳奥特莱斯D-HRH-1和深圳奥特莱斯D-HRH-2这两个5G小区的经度和设备厂商。</x:v>
      </x:c>
      <x:c r="C429" s="23" t="str">
        <x:v>查询深圳奥特莱斯D-HRH-1和深圳奥特莱斯D-HRH-2这两个5G小区的经度和设备厂商</x:v>
      </x:c>
      <x:c r="D429" s="23" t="str">
        <x:v>AICO Tool Call - Workflow</x:v>
      </x:c>
      <x:c r="E429" s="23" t="str">
        <x:v>Workflow</x:v>
      </x:c>
      <x:c r="F429" s="21" t="n">
        <x:v>1</x:v>
      </x:c>
      <x:c r="G429" s="21" t="str">
        <x:v>2026-08-12T10:32:17.092</x:v>
      </x:c>
      <x:c r="H429" s="36" t="n">
        <x:v>5292.772</x:v>
      </x:c>
      <x:c r="I429" s="36" t="n">
        <x:f>H429/1000</x:f>
        <x:v>5.292772</x:v>
      </x:c>
      <x:c r="J429" s="21" t="str">
        <x:v>data2/dsv4_2_aico.jsonl</x:v>
      </x:c>
      <x:c r="K429" s="21" t="n">
        <x:v>190</x:v>
      </x:c>
      <x:c r="L429" s="21" t="str">
        <x:v>original精确文本</x:v>
      </x:c>
    </x:row>
    <x:row r="430">
      <x:c r="A430" s="38" t="n">
        <x:v>53</x:v>
      </x:c>
      <x:c r="B430" s="23" t="str">
        <x:v>找出深圳奥特莱斯D-HRH-1和深圳奥特莱斯D-HRH-2这两个5G小区的经度和设备厂商。</x:v>
      </x:c>
      <x:c r="C430" s="23" t="str">
        <x:v>查询深圳奥特莱斯D-HRH-1和深圳奥特莱斯D-HRH-2这两个5G小区的经度和设备厂商</x:v>
      </x:c>
      <x:c r="D430" s="23" t="str">
        <x:v>Recipe - DeepSeek</x:v>
      </x:c>
      <x:c r="E430" s="23" t="str">
        <x:v>DeepSeek recipe调用</x:v>
      </x:c>
      <x:c r="F430" s="21" t="n">
        <x:v>1</x:v>
      </x:c>
      <x:c r="G430" s="21" t="str">
        <x:v>2026-08-12T10:32:23.788</x:v>
      </x:c>
      <x:c r="H430" s="36" t="n">
        <x:v>3126.354</x:v>
      </x:c>
      <x:c r="I430" s="36" t="n">
        <x:f>H430/1000</x:f>
        <x:v>3.1263539999999996</x:v>
      </x:c>
      <x:c r="J430" s="21" t="str">
        <x:v>data2/dsv4_2_recipe_ds.jsonl</x:v>
      </x:c>
      <x:c r="K430" s="21" t="n">
        <x:v>114</x:v>
      </x:c>
      <x:c r="L430" s="21" t="str">
        <x:v>processed精确文本</x:v>
      </x:c>
    </x:row>
    <x:row r="431">
      <x:c r="A431" s="38" t="n">
        <x:v>53</x:v>
      </x:c>
      <x:c r="B431" s="23" t="str">
        <x:v>找出深圳奥特莱斯D-HRH-1和深圳奥特莱斯D-HRH-2这两个5G小区的经度和设备厂商。</x:v>
      </x:c>
      <x:c r="C431" s="23" t="str">
        <x:v>查询深圳奥特莱斯D-HRH-1和深圳奥特莱斯D-HRH-2这两个5G小区的经度和设备厂商</x:v>
      </x:c>
      <x:c r="D431" s="23" t="str">
        <x:v>Recipe - Qwen执行</x:v>
      </x:c>
      <x:c r="E431" s="23" t="str">
        <x:v>同一问题第1次Qwen调用</x:v>
      </x:c>
      <x:c r="F431" s="21" t="n">
        <x:v>1</x:v>
      </x:c>
      <x:c r="G431" s="21" t="str">
        <x:v>2026-08-12T10:32:27.242</x:v>
      </x:c>
      <x:c r="H431" s="36" t="n">
        <x:v>1378.571</x:v>
      </x:c>
      <x:c r="I431" s="36" t="n">
        <x:f>H431/1000</x:f>
        <x:v>1.378571</x:v>
      </x:c>
      <x:c r="J431" s="21" t="str">
        <x:v>data2/qwen3_2.jsonl</x:v>
      </x:c>
      <x:c r="K431" s="21" t="n">
        <x:v>126</x:v>
      </x:c>
      <x:c r="L431" s="21" t="str">
        <x:v>processed精确文本</x:v>
      </x:c>
    </x:row>
    <x:row r="432">
      <x:c r="A432" s="38" t="n">
        <x:v>53</x:v>
      </x:c>
      <x:c r="B432" s="23" t="str">
        <x:v>找出深圳奥特莱斯D-HRH-1和深圳奥特莱斯D-HRH-2这两个5G小区的经度和设备厂商。</x:v>
      </x:c>
      <x:c r="C432" s="23" t="str">
        <x:v>查询深圳奥特莱斯D-HRH-1和深圳奥特莱斯D-HRH-2这两个5G小区的经度和设备厂商</x:v>
      </x:c>
      <x:c r="D432" s="23" t="str">
        <x:v>Recipe - Qwen执行</x:v>
      </x:c>
      <x:c r="E432" s="23" t="str">
        <x:v>同一问题第2次Qwen调用</x:v>
      </x:c>
      <x:c r="F432" s="21" t="n">
        <x:v>2</x:v>
      </x:c>
      <x:c r="G432" s="21" t="str">
        <x:v>2026-08-12T10:32:29.121</x:v>
      </x:c>
      <x:c r="H432" s="36" t="n">
        <x:v>1687.129</x:v>
      </x:c>
      <x:c r="I432" s="36" t="n">
        <x:f>H432/1000</x:f>
        <x:v>1.6871289999999999</x:v>
      </x:c>
      <x:c r="J432" s="21" t="str">
        <x:v>data2/qwen3_2.jsonl</x:v>
      </x:c>
      <x:c r="K432" s="21" t="n">
        <x:v>127</x:v>
      </x:c>
      <x:c r="L432" s="21" t="str">
        <x:v>processed精确文本</x:v>
      </x:c>
    </x:row>
    <x:row r="433">
      <x:c r="A433" s="38" t="n">
        <x:v>53</x:v>
      </x:c>
      <x:c r="B433" s="23" t="str">
        <x:v>找出深圳奥特莱斯D-HRH-1和深圳奥特莱斯D-HRH-2这两个5G小区的经度和设备厂商。</x:v>
      </x:c>
      <x:c r="C433" s="23" t="str">
        <x:v>查询深圳奥特莱斯D-HRH-1和深圳奥特莱斯D-HRH-2这两个5G小区的经度和设备厂商</x:v>
      </x:c>
      <x:c r="D433" s="23" t="str">
        <x:v>Recipe - Qwen总结</x:v>
      </x:c>
      <x:c r="E433" s="23" t="str">
        <x:v>同一问题最后一次Qwen调用</x:v>
      </x:c>
      <x:c r="F433" s="21" t="n">
        <x:v>1</x:v>
      </x:c>
      <x:c r="G433" s="21" t="str">
        <x:v>2026-08-12T10:32:31.339</x:v>
      </x:c>
      <x:c r="H433" s="36" t="n">
        <x:v>1919.715</x:v>
      </x:c>
      <x:c r="I433" s="36" t="n">
        <x:f>H433/1000</x:f>
        <x:v>1.9197149999999998</x:v>
      </x:c>
      <x:c r="J433" s="21" t="str">
        <x:v>data2/qwen3_2.jsonl</x:v>
      </x:c>
      <x:c r="K433" s="21" t="n">
        <x:v>128</x:v>
      </x:c>
      <x:c r="L433" s="21" t="str">
        <x:v>processed精确文本</x:v>
      </x:c>
    </x:row>
    <x:row r="434">
      <x:c r="A434" s="38" t="n">
        <x:v>53</x:v>
      </x:c>
      <x:c r="B434" s="23" t="str">
        <x:v>找出深圳奥特莱斯D-HRH-1和深圳奥特莱斯D-HRH-2这两个5G小区的经度和设备厂商。</x:v>
      </x:c>
      <x:c r="C434" s="23" t="str">
        <x:v>查询深圳奥特莱斯D-HRH-1和深圳奥特莱斯D-HRH-2这两个5G小区的经度和设备厂商</x:v>
      </x:c>
      <x:c r="D434" s="23" t="str">
        <x:v>AICO总结</x:v>
      </x:c>
      <x:c r="E434" s="23" t="str">
        <x:v>无tool_calls</x:v>
      </x:c>
      <x:c r="F434" s="21" t="n">
        <x:v>1</x:v>
      </x:c>
      <x:c r="G434" s="21" t="str">
        <x:v>2026-08-12T10:32:33.512</x:v>
      </x:c>
      <x:c r="H434" s="36" t="n">
        <x:v>8022.804</x:v>
      </x:c>
      <x:c r="I434" s="36" t="n">
        <x:f>H434/1000</x:f>
        <x:v>8.022804</x:v>
      </x:c>
      <x:c r="J434" s="21" t="str">
        <x:v>data2/dsv4_2_aico.jsonl</x:v>
      </x:c>
      <x:c r="K434" s="21" t="n">
        <x:v>191</x:v>
      </x:c>
      <x:c r="L434" s="21" t="str">
        <x:v>original精确文本</x:v>
      </x:c>
    </x:row>
    <x:row r="435">
      <x:c r="A435" s="38" t="n">
        <x:v>53</x:v>
      </x:c>
      <x:c r="B435" s="23" t="str">
        <x:v>找出深圳奥特莱斯D-HRH-1和深圳奥特莱斯D-HRH-2这两个5G小区的经度和设备厂商。</x:v>
      </x:c>
      <x:c r="C435" s="23" t="str">
        <x:v>查询深圳奥特莱斯D-HRH-1和深圳奥特莱斯D-HRH-2这两个5G小区的经度和设备厂商</x:v>
      </x:c>
      <x:c r="D435" s="23" t="str">
        <x:v>问题推荐</x:v>
      </x:c>
      <x:c r="E435" s="23" t="str">
        <x:v>后续问题推荐</x:v>
      </x:c>
      <x:c r="F435" s="21" t="n">
        <x:v>1</x:v>
      </x:c>
      <x:c r="G435" s="21" t="str">
        <x:v>2026-08-12T10:32:41.792</x:v>
      </x:c>
      <x:c r="H435" s="36" t="n">
        <x:v>5002.506</x:v>
      </x:c>
      <x:c r="I435" s="36" t="n">
        <x:f>H435/1000</x:f>
        <x:v>5.002506</x:v>
      </x:c>
      <x:c r="J435" s="21" t="str">
        <x:v>data2/dsv4_2_recipe_ds.jsonl</x:v>
      </x:c>
      <x:c r="K435" s="21" t="n">
        <x:v>115</x:v>
      </x:c>
      <x:c r="L435" s="21" t="str">
        <x:v>original精确文本</x:v>
      </x:c>
    </x:row>
    <x:row r="436">
      <x:c r="A436" s="38" t="n">
        <x:v>54</x:v>
      </x:c>
      <x:c r="B436" s="23" t="str">
        <x:v>确认一下CBN-福州仓山-福州南站火车南站西北美化塔C-HRRH站点下NR小区的移动国家码和小区名称。</x:v>
      </x:c>
      <x:c r="C436" s="23" t="str">
        <x:v>查询站点CBN-福州仓山-福州南站火车南站西北美化塔C-HRRH下所有NR小区的移动国家码(MCC)和小区名称</x:v>
      </x:c>
      <x:c r="D436" s="23" t="str">
        <x:v>AICO Tool Call - Skill</x:v>
      </x:c>
      <x:c r="E436" s="23" t="str">
        <x:v>Skill</x:v>
      </x:c>
      <x:c r="F436" s="21" t="n">
        <x:v>1</x:v>
      </x:c>
      <x:c r="G436" s="21" t="str">
        <x:v>2026-08-12T10:32:42.699</x:v>
      </x:c>
      <x:c r="H436" s="36" t="n">
        <x:v>5766.541</x:v>
      </x:c>
      <x:c r="I436" s="36" t="n">
        <x:f>H436/1000</x:f>
        <x:v>5.766541</x:v>
      </x:c>
      <x:c r="J436" s="21" t="str">
        <x:v>data2/dsv4_2_aico.jsonl</x:v>
      </x:c>
      <x:c r="K436" s="21" t="n">
        <x:v>192</x:v>
      </x:c>
      <x:c r="L436" s="21" t="str">
        <x:v>original精确文本</x:v>
      </x:c>
    </x:row>
    <x:row r="437">
      <x:c r="A437" s="38" t="n">
        <x:v>54</x:v>
      </x:c>
      <x:c r="B437" s="23" t="str">
        <x:v>确认一下CBN-福州仓山-福州南站火车南站西北美化塔C-HRRH站点下NR小区的移动国家码和小区名称。</x:v>
      </x:c>
      <x:c r="C437" s="23" t="str">
        <x:v>查询站点CBN-福州仓山-福州南站火车南站西北美化塔C-HRRH下所有NR小区的移动国家码(MCC)和小区名称</x:v>
      </x:c>
      <x:c r="D437" s="23" t="str">
        <x:v>AICO Tool Call - Workflow</x:v>
      </x:c>
      <x:c r="E437" s="23" t="str">
        <x:v>Workflow</x:v>
      </x:c>
      <x:c r="F437" s="21" t="n">
        <x:v>1</x:v>
      </x:c>
      <x:c r="G437" s="21" t="str">
        <x:v>2026-08-12T10:32:48.628</x:v>
      </x:c>
      <x:c r="H437" s="36" t="n">
        <x:v>8035.346</x:v>
      </x:c>
      <x:c r="I437" s="36" t="n">
        <x:f>H437/1000</x:f>
        <x:v>8.035345999999999</x:v>
      </x:c>
      <x:c r="J437" s="21" t="str">
        <x:v>data2/dsv4_2_aico.jsonl</x:v>
      </x:c>
      <x:c r="K437" s="21" t="n">
        <x:v>193</x:v>
      </x:c>
      <x:c r="L437" s="21" t="str">
        <x:v>original精确文本</x:v>
      </x:c>
    </x:row>
    <x:row r="438">
      <x:c r="A438" s="38" t="n">
        <x:v>54</x:v>
      </x:c>
      <x:c r="B438" s="23" t="str">
        <x:v>确认一下CBN-福州仓山-福州南站火车南站西北美化塔C-HRRH站点下NR小区的移动国家码和小区名称。</x:v>
      </x:c>
      <x:c r="C438" s="23" t="str">
        <x:v>查询站点CBN-福州仓山-福州南站火车南站西北美化塔C-HRRH下所有NR小区的移动国家码(MCC)和小区名称</x:v>
      </x:c>
      <x:c r="D438" s="23" t="str">
        <x:v>Recipe - DeepSeek</x:v>
      </x:c>
      <x:c r="E438" s="23" t="str">
        <x:v>DeepSeek recipe调用</x:v>
      </x:c>
      <x:c r="F438" s="21" t="n">
        <x:v>1</x:v>
      </x:c>
      <x:c r="G438" s="21" t="str">
        <x:v>2026-08-12T10:32:57.788</x:v>
      </x:c>
      <x:c r="H438" s="36" t="n">
        <x:v>3630.085</x:v>
      </x:c>
      <x:c r="I438" s="36" t="n">
        <x:f>H438/1000</x:f>
        <x:v>3.6300850000000002</x:v>
      </x:c>
      <x:c r="J438" s="21" t="str">
        <x:v>data2/dsv4_2_recipe_ds.jsonl</x:v>
      </x:c>
      <x:c r="K438" s="21" t="n">
        <x:v>116</x:v>
      </x:c>
      <x:c r="L438" s="21" t="str">
        <x:v>processed精确文本</x:v>
      </x:c>
    </x:row>
    <x:row r="439">
      <x:c r="A439" s="38" t="n">
        <x:v>54</x:v>
      </x:c>
      <x:c r="B439" s="23" t="str">
        <x:v>确认一下CBN-福州仓山-福州南站火车南站西北美化塔C-HRRH站点下NR小区的移动国家码和小区名称。</x:v>
      </x:c>
      <x:c r="C439" s="23" t="str">
        <x:v>查询站点CBN-福州仓山-福州南站火车南站西北美化塔C-HRRH下所有NR小区的移动国家码(MCC)和小区名称</x:v>
      </x:c>
      <x:c r="D439" s="23" t="str">
        <x:v>Recipe - Qwen执行</x:v>
      </x:c>
      <x:c r="E439" s="23" t="str">
        <x:v>同一问题第1次Qwen调用</x:v>
      </x:c>
      <x:c r="F439" s="21" t="n">
        <x:v>1</x:v>
      </x:c>
      <x:c r="G439" s="21" t="str">
        <x:v>2026-08-12T10:33:01.753</x:v>
      </x:c>
      <x:c r="H439" s="36" t="n">
        <x:v>1376.241</x:v>
      </x:c>
      <x:c r="I439" s="36" t="n">
        <x:f>H439/1000</x:f>
        <x:v>1.376241</x:v>
      </x:c>
      <x:c r="J439" s="21" t="str">
        <x:v>data2/qwen3_2.jsonl</x:v>
      </x:c>
      <x:c r="K439" s="21" t="n">
        <x:v>129</x:v>
      </x:c>
      <x:c r="L439" s="21" t="str">
        <x:v>processed精确文本</x:v>
      </x:c>
    </x:row>
    <x:row r="440">
      <x:c r="A440" s="38" t="n">
        <x:v>54</x:v>
      </x:c>
      <x:c r="B440" s="23" t="str">
        <x:v>确认一下CBN-福州仓山-福州南站火车南站西北美化塔C-HRRH站点下NR小区的移动国家码和小区名称。</x:v>
      </x:c>
      <x:c r="C440" s="23" t="str">
        <x:v>查询站点CBN-福州仓山-福州南站火车南站西北美化塔C-HRRH下所有NR小区的移动国家码(MCC)和小区名称</x:v>
      </x:c>
      <x:c r="D440" s="23" t="str">
        <x:v>Recipe - Qwen总结</x:v>
      </x:c>
      <x:c r="E440" s="23" t="str">
        <x:v>同一问题最后一次Qwen调用</x:v>
      </x:c>
      <x:c r="F440" s="21" t="n">
        <x:v>1</x:v>
      </x:c>
      <x:c r="G440" s="21" t="str">
        <x:v>2026-08-12T10:33:03.622</x:v>
      </x:c>
      <x:c r="H440" s="36" t="n">
        <x:v>1718.957</x:v>
      </x:c>
      <x:c r="I440" s="36" t="n">
        <x:f>H440/1000</x:f>
        <x:v>1.718957</x:v>
      </x:c>
      <x:c r="J440" s="21" t="str">
        <x:v>data2/qwen3_2.jsonl</x:v>
      </x:c>
      <x:c r="K440" s="21" t="n">
        <x:v>130</x:v>
      </x:c>
      <x:c r="L440" s="21" t="str">
        <x:v>processed精确文本</x:v>
      </x:c>
    </x:row>
    <x:row r="441">
      <x:c r="A441" s="38" t="n">
        <x:v>54</x:v>
      </x:c>
      <x:c r="B441" s="23" t="str">
        <x:v>确认一下CBN-福州仓山-福州南站火车南站西北美化塔C-HRRH站点下NR小区的移动国家码和小区名称。</x:v>
      </x:c>
      <x:c r="C441" s="23" t="str">
        <x:v>查询站点CBN-福州仓山-福州南站火车南站西北美化塔C-HRRH下所有NR小区的移动国家码(MCC)和小区名称</x:v>
      </x:c>
      <x:c r="D441" s="23" t="str">
        <x:v>AICO总结</x:v>
      </x:c>
      <x:c r="E441" s="23" t="str">
        <x:v>无tool_calls</x:v>
      </x:c>
      <x:c r="F441" s="21" t="n">
        <x:v>1</x:v>
      </x:c>
      <x:c r="G441" s="21" t="str">
        <x:v>2026-08-12T10:33:05.639</x:v>
      </x:c>
      <x:c r="H441" s="36" t="n">
        <x:v>7774.052</x:v>
      </x:c>
      <x:c r="I441" s="36" t="n">
        <x:f>H441/1000</x:f>
        <x:v>7.774051999999999</x:v>
      </x:c>
      <x:c r="J441" s="21" t="str">
        <x:v>data2/dsv4_2_aico.jsonl</x:v>
      </x:c>
      <x:c r="K441" s="21" t="n">
        <x:v>194</x:v>
      </x:c>
      <x:c r="L441" s="21" t="str">
        <x:v>original精确文本</x:v>
      </x:c>
    </x:row>
    <x:row r="442">
      <x:c r="A442" s="38" t="n">
        <x:v>54</x:v>
      </x:c>
      <x:c r="B442" s="23" t="str">
        <x:v>确认一下CBN-福州仓山-福州南站火车南站西北美化塔C-HRRH站点下NR小区的移动国家码和小区名称。</x:v>
      </x:c>
      <x:c r="C442" s="23" t="str">
        <x:v>查询站点CBN-福州仓山-福州南站火车南站西北美化塔C-HRRH下所有NR小区的移动国家码(MCC)和小区名称</x:v>
      </x:c>
      <x:c r="D442" s="23" t="str">
        <x:v>问题推荐</x:v>
      </x:c>
      <x:c r="E442" s="23" t="str">
        <x:v>后续问题推荐</x:v>
      </x:c>
      <x:c r="F442" s="21" t="n">
        <x:v>1</x:v>
      </x:c>
      <x:c r="G442" s="21" t="str">
        <x:v>2026-08-12T10:33:13.856</x:v>
      </x:c>
      <x:c r="H442" s="36" t="n">
        <x:v>5454.442</x:v>
      </x:c>
      <x:c r="I442" s="36" t="n">
        <x:f>H442/1000</x:f>
        <x:v>5.454442</x:v>
      </x:c>
      <x:c r="J442" s="21" t="str">
        <x:v>data2/dsv4_2_recipe_ds.jsonl</x:v>
      </x:c>
      <x:c r="K442" s="21" t="n">
        <x:v>117</x:v>
      </x:c>
      <x:c r="L442" s="21" t="str">
        <x:v>original精确文本</x:v>
      </x:c>
    </x:row>
    <x:row r="443">
      <x:c r="A443" s="38" t="n">
        <x:v>55</x:v>
      </x:c>
      <x:c r="B443" s="23" t="str">
        <x:v>帮我查一下深圳东海岸三D-HRH-1这个5G小区的方位角、电子下倾角和站点名称。</x:v>
      </x:c>
      <x:c r="C443" s="23" t="str">
        <x:v>查询深圳东海岸三D-HRH-1这个5G小区的方位角、电子下倾角和站点名称</x:v>
      </x:c>
      <x:c r="D443" s="23" t="str">
        <x:v>AICO Tool Call - Skill</x:v>
      </x:c>
      <x:c r="E443" s="23" t="str">
        <x:v>Skill</x:v>
      </x:c>
      <x:c r="F443" s="21" t="n">
        <x:v>1</x:v>
      </x:c>
      <x:c r="G443" s="21" t="str">
        <x:v>2026-08-12T10:33:14.706</x:v>
      </x:c>
      <x:c r="H443" s="36" t="n">
        <x:v>5656.893</x:v>
      </x:c>
      <x:c r="I443" s="36" t="n">
        <x:f>H443/1000</x:f>
        <x:v>5.656893</x:v>
      </x:c>
      <x:c r="J443" s="21" t="str">
        <x:v>data2/dsv4_2_aico.jsonl</x:v>
      </x:c>
      <x:c r="K443" s="21" t="n">
        <x:v>195</x:v>
      </x:c>
      <x:c r="L443" s="21" t="str">
        <x:v>original精确文本</x:v>
      </x:c>
    </x:row>
    <x:row r="444">
      <x:c r="A444" s="38" t="n">
        <x:v>55</x:v>
      </x:c>
      <x:c r="B444" s="23" t="str">
        <x:v>帮我查一下深圳东海岸三D-HRH-1这个5G小区的方位角、电子下倾角和站点名称。</x:v>
      </x:c>
      <x:c r="C444" s="23" t="str">
        <x:v>查询深圳东海岸三D-HRH-1这个5G小区的方位角、电子下倾角和站点名称</x:v>
      </x:c>
      <x:c r="D444" s="23" t="str">
        <x:v>AICO Tool Call - Workflow</x:v>
      </x:c>
      <x:c r="E444" s="23" t="str">
        <x:v>Workflow</x:v>
      </x:c>
      <x:c r="F444" s="21" t="n">
        <x:v>1</x:v>
      </x:c>
      <x:c r="G444" s="21" t="str">
        <x:v>2026-08-12T10:33:20.701</x:v>
      </x:c>
      <x:c r="H444" s="36" t="n">
        <x:v>5121.169</x:v>
      </x:c>
      <x:c r="I444" s="36" t="n">
        <x:f>H444/1000</x:f>
        <x:v>5.121169</x:v>
      </x:c>
      <x:c r="J444" s="21" t="str">
        <x:v>data2/dsv4_2_aico.jsonl</x:v>
      </x:c>
      <x:c r="K444" s="21" t="n">
        <x:v>196</x:v>
      </x:c>
      <x:c r="L444" s="21" t="str">
        <x:v>original精确文本</x:v>
      </x:c>
    </x:row>
    <x:row r="445">
      <x:c r="A445" s="38" t="n">
        <x:v>55</x:v>
      </x:c>
      <x:c r="B445" s="23" t="str">
        <x:v>帮我查一下深圳东海岸三D-HRH-1这个5G小区的方位角、电子下倾角和站点名称。</x:v>
      </x:c>
      <x:c r="C445" s="23" t="str">
        <x:v>查询深圳东海岸三D-HRH-1这个5G小区的方位角、电子下倾角和站点名称</x:v>
      </x:c>
      <x:c r="D445" s="23" t="str">
        <x:v>Recipe - DeepSeek</x:v>
      </x:c>
      <x:c r="E445" s="23" t="str">
        <x:v>DeepSeek recipe调用</x:v>
      </x:c>
      <x:c r="F445" s="21" t="n">
        <x:v>1</x:v>
      </x:c>
      <x:c r="G445" s="21" t="str">
        <x:v>2026-08-12T10:33:27.221</x:v>
      </x:c>
      <x:c r="H445" s="36" t="n">
        <x:v>3121.145</x:v>
      </x:c>
      <x:c r="I445" s="36" t="n">
        <x:f>H445/1000</x:f>
        <x:v>3.121145</x:v>
      </x:c>
      <x:c r="J445" s="21" t="str">
        <x:v>data2/dsv4_2_recipe_ds.jsonl</x:v>
      </x:c>
      <x:c r="K445" s="21" t="n">
        <x:v>118</x:v>
      </x:c>
      <x:c r="L445" s="21" t="str">
        <x:v>processed精确文本</x:v>
      </x:c>
    </x:row>
    <x:row r="446">
      <x:c r="A446" s="38" t="n">
        <x:v>55</x:v>
      </x:c>
      <x:c r="B446" s="23" t="str">
        <x:v>帮我查一下深圳东海岸三D-HRH-1这个5G小区的方位角、电子下倾角和站点名称。</x:v>
      </x:c>
      <x:c r="C446" s="23" t="str">
        <x:v>查询深圳东海岸三D-HRH-1这个5G小区的方位角、电子下倾角和站点名称</x:v>
      </x:c>
      <x:c r="D446" s="23" t="str">
        <x:v>Recipe - Qwen执行</x:v>
      </x:c>
      <x:c r="E446" s="23" t="str">
        <x:v>同一问题第1次Qwen调用</x:v>
      </x:c>
      <x:c r="F446" s="21" t="n">
        <x:v>1</x:v>
      </x:c>
      <x:c r="G446" s="21" t="str">
        <x:v>2026-08-12T10:33:30.672</x:v>
      </x:c>
      <x:c r="H446" s="36" t="n">
        <x:v>1407.099</x:v>
      </x:c>
      <x:c r="I446" s="36" t="n">
        <x:f>H446/1000</x:f>
        <x:v>1.4070989999999999</x:v>
      </x:c>
      <x:c r="J446" s="21" t="str">
        <x:v>data2/qwen3_2.jsonl</x:v>
      </x:c>
      <x:c r="K446" s="21" t="n">
        <x:v>131</x:v>
      </x:c>
      <x:c r="L446" s="21" t="str">
        <x:v>processed精确文本</x:v>
      </x:c>
    </x:row>
    <x:row r="447">
      <x:c r="A447" s="38" t="n">
        <x:v>55</x:v>
      </x:c>
      <x:c r="B447" s="23" t="str">
        <x:v>帮我查一下深圳东海岸三D-HRH-1这个5G小区的方位角、电子下倾角和站点名称。</x:v>
      </x:c>
      <x:c r="C447" s="23" t="str">
        <x:v>查询深圳东海岸三D-HRH-1这个5G小区的方位角、电子下倾角和站点名称</x:v>
      </x:c>
      <x:c r="D447" s="23" t="str">
        <x:v>Recipe - Qwen总结</x:v>
      </x:c>
      <x:c r="E447" s="23" t="str">
        <x:v>同一问题最后一次Qwen调用</x:v>
      </x:c>
      <x:c r="F447" s="21" t="n">
        <x:v>1</x:v>
      </x:c>
      <x:c r="G447" s="21" t="str">
        <x:v>2026-08-12T10:33:32.590</x:v>
      </x:c>
      <x:c r="H447" s="36" t="n">
        <x:v>1468.823</x:v>
      </x:c>
      <x:c r="I447" s="36" t="n">
        <x:f>H447/1000</x:f>
        <x:v>1.468823</x:v>
      </x:c>
      <x:c r="J447" s="21" t="str">
        <x:v>data2/qwen3_2.jsonl</x:v>
      </x:c>
      <x:c r="K447" s="21" t="n">
        <x:v>132</x:v>
      </x:c>
      <x:c r="L447" s="21" t="str">
        <x:v>processed精确文本</x:v>
      </x:c>
    </x:row>
    <x:row r="448">
      <x:c r="A448" s="38" t="n">
        <x:v>55</x:v>
      </x:c>
      <x:c r="B448" s="23" t="str">
        <x:v>帮我查一下深圳东海岸三D-HRH-1这个5G小区的方位角、电子下倾角和站点名称。</x:v>
      </x:c>
      <x:c r="C448" s="23" t="str">
        <x:v>查询深圳东海岸三D-HRH-1这个5G小区的方位角、电子下倾角和站点名称</x:v>
      </x:c>
      <x:c r="D448" s="23" t="str">
        <x:v>AICO总结</x:v>
      </x:c>
      <x:c r="E448" s="23" t="str">
        <x:v>无tool_calls</x:v>
      </x:c>
      <x:c r="F448" s="21" t="n">
        <x:v>1</x:v>
      </x:c>
      <x:c r="G448" s="21" t="str">
        <x:v>2026-08-12T10:33:34.329</x:v>
      </x:c>
      <x:c r="H448" s="36" t="n">
        <x:v>8030.393</x:v>
      </x:c>
      <x:c r="I448" s="36" t="n">
        <x:f>H448/1000</x:f>
        <x:v>8.030393</x:v>
      </x:c>
      <x:c r="J448" s="21" t="str">
        <x:v>data2/dsv4_2_aico.jsonl</x:v>
      </x:c>
      <x:c r="K448" s="21" t="n">
        <x:v>197</x:v>
      </x:c>
      <x:c r="L448" s="21" t="str">
        <x:v>original精确文本</x:v>
      </x:c>
    </x:row>
    <x:row r="449">
      <x:c r="A449" s="38" t="n">
        <x:v>55</x:v>
      </x:c>
      <x:c r="B449" s="23" t="str">
        <x:v>帮我查一下深圳东海岸三D-HRH-1这个5G小区的方位角、电子下倾角和站点名称。</x:v>
      </x:c>
      <x:c r="C449" s="23" t="str">
        <x:v>查询深圳东海岸三D-HRH-1这个5G小区的方位角、电子下倾角和站点名称</x:v>
      </x:c>
      <x:c r="D449" s="23" t="str">
        <x:v>问题推荐</x:v>
      </x:c>
      <x:c r="E449" s="23" t="str">
        <x:v>后续问题推荐</x:v>
      </x:c>
      <x:c r="F449" s="21" t="n">
        <x:v>1</x:v>
      </x:c>
      <x:c r="G449" s="21" t="str">
        <x:v>2026-08-12T10:33:42.660</x:v>
      </x:c>
      <x:c r="H449" s="36" t="n">
        <x:v>4792.791</x:v>
      </x:c>
      <x:c r="I449" s="36" t="n">
        <x:f>H449/1000</x:f>
        <x:v>4.792791</x:v>
      </x:c>
      <x:c r="J449" s="21" t="str">
        <x:v>data2/dsv4_2_recipe_ds.jsonl</x:v>
      </x:c>
      <x:c r="K449" s="21" t="n">
        <x:v>119</x:v>
      </x:c>
      <x:c r="L449" s="21" t="str">
        <x:v>original精确文本</x:v>
      </x:c>
    </x:row>
    <x:row r="450">
      <x:c r="A450" s="38" t="n">
        <x:v>56</x:v>
      </x:c>
      <x:c r="B450" s="23" t="str">
        <x:v>帮我查一下深圳大梅沙D-HRH站点下天线高度大于30米的小区，返回小区名称、天线高度和方位角。</x:v>
      </x:c>
      <x:c r="C450" s="23" t="str">
        <x:v>查询深圳大梅沙D-HRH站点下天线高度大于30米的小区，返回小区名称、天线高度和方位角</x:v>
      </x:c>
      <x:c r="D450" s="23" t="str">
        <x:v>AICO Tool Call - Skill</x:v>
      </x:c>
      <x:c r="E450" s="23" t="str">
        <x:v>Skill</x:v>
      </x:c>
      <x:c r="F450" s="21" t="n">
        <x:v>1</x:v>
      </x:c>
      <x:c r="G450" s="21" t="str">
        <x:v>2026-08-12T10:33:43.564</x:v>
      </x:c>
      <x:c r="H450" s="36" t="n">
        <x:v>5362.174</x:v>
      </x:c>
      <x:c r="I450" s="36" t="n">
        <x:f>H450/1000</x:f>
        <x:v>5.3621739999999996</x:v>
      </x:c>
      <x:c r="J450" s="21" t="str">
        <x:v>data2/dsv4_2_aico.jsonl</x:v>
      </x:c>
      <x:c r="K450" s="21" t="n">
        <x:v>198</x:v>
      </x:c>
      <x:c r="L450" s="21" t="str">
        <x:v>original精确文本</x:v>
      </x:c>
    </x:row>
    <x:row r="451">
      <x:c r="A451" s="38" t="n">
        <x:v>56</x:v>
      </x:c>
      <x:c r="B451" s="23" t="str">
        <x:v>帮我查一下深圳大梅沙D-HRH站点下天线高度大于30米的小区，返回小区名称、天线高度和方位角。</x:v>
      </x:c>
      <x:c r="C451" s="23" t="str">
        <x:v>查询深圳大梅沙D-HRH站点下天线高度大于30米的小区，返回小区名称、天线高度和方位角</x:v>
      </x:c>
      <x:c r="D451" s="23" t="str">
        <x:v>AICO Tool Call - Workflow</x:v>
      </x:c>
      <x:c r="E451" s="23" t="str">
        <x:v>Workflow</x:v>
      </x:c>
      <x:c r="F451" s="21" t="n">
        <x:v>1</x:v>
      </x:c>
      <x:c r="G451" s="21" t="str">
        <x:v>2026-08-12T10:33:49.078</x:v>
      </x:c>
      <x:c r="H451" s="36" t="n">
        <x:v>5580.19</x:v>
      </x:c>
      <x:c r="I451" s="36" t="n">
        <x:f>H451/1000</x:f>
        <x:v>5.58019</x:v>
      </x:c>
      <x:c r="J451" s="21" t="str">
        <x:v>data2/dsv4_2_aico.jsonl</x:v>
      </x:c>
      <x:c r="K451" s="21" t="n">
        <x:v>199</x:v>
      </x:c>
      <x:c r="L451" s="21" t="str">
        <x:v>original精确文本</x:v>
      </x:c>
    </x:row>
    <x:row r="452">
      <x:c r="A452" s="38" t="n">
        <x:v>56</x:v>
      </x:c>
      <x:c r="B452" s="23" t="str">
        <x:v>帮我查一下深圳大梅沙D-HRH站点下天线高度大于30米的小区，返回小区名称、天线高度和方位角。</x:v>
      </x:c>
      <x:c r="C452" s="23" t="str">
        <x:v>查询深圳大梅沙D-HRH站点下天线高度大于30米的小区，返回小区名称、天线高度和方位角</x:v>
      </x:c>
      <x:c r="D452" s="23" t="str">
        <x:v>Recipe - DeepSeek</x:v>
      </x:c>
      <x:c r="E452" s="23" t="str">
        <x:v>DeepSeek recipe调用</x:v>
      </x:c>
      <x:c r="F452" s="21" t="n">
        <x:v>1</x:v>
      </x:c>
      <x:c r="G452" s="21" t="str">
        <x:v>2026-08-12T10:33:56.134</x:v>
      </x:c>
      <x:c r="H452" s="36" t="n">
        <x:v>3853.18</x:v>
      </x:c>
      <x:c r="I452" s="36" t="n">
        <x:f>H452/1000</x:f>
        <x:v>3.85318</x:v>
      </x:c>
      <x:c r="J452" s="21" t="str">
        <x:v>data2/dsv4_2_recipe_ds.jsonl</x:v>
      </x:c>
      <x:c r="K452" s="21" t="n">
        <x:v>120</x:v>
      </x:c>
      <x:c r="L452" s="21" t="str">
        <x:v>processed精确文本</x:v>
      </x:c>
    </x:row>
    <x:row r="453">
      <x:c r="A453" s="38" t="n">
        <x:v>56</x:v>
      </x:c>
      <x:c r="B453" s="23" t="str">
        <x:v>帮我查一下深圳大梅沙D-HRH站点下天线高度大于30米的小区，返回小区名称、天线高度和方位角。</x:v>
      </x:c>
      <x:c r="C453" s="23" t="str">
        <x:v>查询深圳大梅沙D-HRH站点下天线高度大于30米的小区，返回小区名称、天线高度和方位角</x:v>
      </x:c>
      <x:c r="D453" s="23" t="str">
        <x:v>Recipe - Qwen执行</x:v>
      </x:c>
      <x:c r="E453" s="23" t="str">
        <x:v>同一问题第1次Qwen调用</x:v>
      </x:c>
      <x:c r="F453" s="21" t="n">
        <x:v>1</x:v>
      </x:c>
      <x:c r="G453" s="21" t="str">
        <x:v>2026-08-12T10:34:00.346</x:v>
      </x:c>
      <x:c r="H453" s="36" t="n">
        <x:v>1222.918</x:v>
      </x:c>
      <x:c r="I453" s="36" t="n">
        <x:f>H453/1000</x:f>
        <x:v>1.222918</x:v>
      </x:c>
      <x:c r="J453" s="21" t="str">
        <x:v>data2/qwen3_2.jsonl</x:v>
      </x:c>
      <x:c r="K453" s="21" t="n">
        <x:v>133</x:v>
      </x:c>
      <x:c r="L453" s="21" t="str">
        <x:v>processed精确文本</x:v>
      </x:c>
    </x:row>
    <x:row r="454">
      <x:c r="A454" s="38" t="n">
        <x:v>56</x:v>
      </x:c>
      <x:c r="B454" s="23" t="str">
        <x:v>帮我查一下深圳大梅沙D-HRH站点下天线高度大于30米的小区，返回小区名称、天线高度和方位角。</x:v>
      </x:c>
      <x:c r="C454" s="23" t="str">
        <x:v>查询深圳大梅沙D-HRH站点下天线高度大于30米的小区，返回小区名称、天线高度和方位角</x:v>
      </x:c>
      <x:c r="D454" s="23" t="str">
        <x:v>Recipe - Qwen总结</x:v>
      </x:c>
      <x:c r="E454" s="23" t="str">
        <x:v>同一问题最后一次Qwen调用</x:v>
      </x:c>
      <x:c r="F454" s="21" t="n">
        <x:v>1</x:v>
      </x:c>
      <x:c r="G454" s="21" t="str">
        <x:v>2026-08-12T10:34:02.078</x:v>
      </x:c>
      <x:c r="H454" s="36" t="n">
        <x:v>1731.132</x:v>
      </x:c>
      <x:c r="I454" s="36" t="n">
        <x:f>H454/1000</x:f>
        <x:v>1.7311320000000001</x:v>
      </x:c>
      <x:c r="J454" s="21" t="str">
        <x:v>data2/qwen3_2.jsonl</x:v>
      </x:c>
      <x:c r="K454" s="21" t="n">
        <x:v>134</x:v>
      </x:c>
      <x:c r="L454" s="21" t="str">
        <x:v>processed精确文本</x:v>
      </x:c>
    </x:row>
    <x:row r="455">
      <x:c r="A455" s="38" t="n">
        <x:v>56</x:v>
      </x:c>
      <x:c r="B455" s="23" t="str">
        <x:v>帮我查一下深圳大梅沙D-HRH站点下天线高度大于30米的小区，返回小区名称、天线高度和方位角。</x:v>
      </x:c>
      <x:c r="C455" s="23" t="str">
        <x:v>查询深圳大梅沙D-HRH站点下天线高度大于30米的小区，返回小区名称、天线高度和方位角</x:v>
      </x:c>
      <x:c r="D455" s="23" t="str">
        <x:v>AICO总结</x:v>
      </x:c>
      <x:c r="E455" s="23" t="str">
        <x:v>无tool_calls</x:v>
      </x:c>
      <x:c r="F455" s="21" t="n">
        <x:v>1</x:v>
      </x:c>
      <x:c r="G455" s="21" t="str">
        <x:v>2026-08-12T10:34:04.070</x:v>
      </x:c>
      <x:c r="H455" s="36" t="n">
        <x:v>4239.896</x:v>
      </x:c>
      <x:c r="I455" s="36" t="n">
        <x:f>H455/1000</x:f>
        <x:v>4.239896</x:v>
      </x:c>
      <x:c r="J455" s="21" t="str">
        <x:v>data2/dsv4_2_aico.jsonl</x:v>
      </x:c>
      <x:c r="K455" s="21" t="n">
        <x:v>200</x:v>
      </x:c>
      <x:c r="L455" s="21" t="str">
        <x:v>original精确文本</x:v>
      </x:c>
    </x:row>
    <x:row r="456">
      <x:c r="A456" s="38" t="n">
        <x:v>56</x:v>
      </x:c>
      <x:c r="B456" s="23" t="str">
        <x:v>帮我查一下深圳大梅沙D-HRH站点下天线高度大于30米的小区，返回小区名称、天线高度和方位角。</x:v>
      </x:c>
      <x:c r="C456" s="23" t="str">
        <x:v>查询深圳大梅沙D-HRH站点下天线高度大于30米的小区，返回小区名称、天线高度和方位角</x:v>
      </x:c>
      <x:c r="D456" s="23" t="str">
        <x:v>问题推荐</x:v>
      </x:c>
      <x:c r="E456" s="23" t="str">
        <x:v>后续问题推荐</x:v>
      </x:c>
      <x:c r="F456" s="21" t="n">
        <x:v>1</x:v>
      </x:c>
      <x:c r="G456" s="21" t="str">
        <x:v>2026-08-12T10:34:08.613</x:v>
      </x:c>
      <x:c r="H456" s="36" t="n">
        <x:v>5540.784</x:v>
      </x:c>
      <x:c r="I456" s="36" t="n">
        <x:f>H456/1000</x:f>
        <x:v>5.5407839999999995</x:v>
      </x:c>
      <x:c r="J456" s="21" t="str">
        <x:v>data2/dsv4_2_recipe_ds.jsonl</x:v>
      </x:c>
      <x:c r="K456" s="21" t="n">
        <x:v>121</x:v>
      </x:c>
      <x:c r="L456" s="21" t="str">
        <x:v>original精确文本</x:v>
      </x:c>
    </x:row>
    <x:row r="457">
      <x:c r="A457" s="38" t="n">
        <x:v>57</x:v>
      </x:c>
      <x:c r="B457" s="23" t="str">
        <x:v>找出深圳梅沙湾D-HRH-2和深圳大梅沙D-HRH-1这两个5G小区中，方位角在90到180度之间的，返回小区名称、方位角和经度。</x:v>
      </x:c>
      <x:c r="C457" s="23" t="str">
        <x:v>查询深圳梅沙湾D-HRH-2和深圳大梅沙D-HRH-1这两个5G小区的工程参数，包括小区名称、方位角、经度</x:v>
      </x:c>
      <x:c r="D457" s="23" t="str">
        <x:v>AICO Tool Call - Skill</x:v>
      </x:c>
      <x:c r="E457" s="23" t="str">
        <x:v>Skill</x:v>
      </x:c>
      <x:c r="F457" s="21" t="n">
        <x:v>1</x:v>
      </x:c>
      <x:c r="G457" s="21" t="str">
        <x:v>2026-08-12T10:34:09.520</x:v>
      </x:c>
      <x:c r="H457" s="36" t="n">
        <x:v>5611.89</x:v>
      </x:c>
      <x:c r="I457" s="36" t="n">
        <x:f>H457/1000</x:f>
        <x:v>5.611890000000001</x:v>
      </x:c>
      <x:c r="J457" s="21" t="str">
        <x:v>data2/dsv4_2_aico.jsonl</x:v>
      </x:c>
      <x:c r="K457" s="21" t="n">
        <x:v>201</x:v>
      </x:c>
      <x:c r="L457" s="21" t="str">
        <x:v>original精确文本</x:v>
      </x:c>
    </x:row>
    <x:row r="458">
      <x:c r="A458" s="38" t="n">
        <x:v>57</x:v>
      </x:c>
      <x:c r="B458" s="23" t="str">
        <x:v>找出深圳梅沙湾D-HRH-2和深圳大梅沙D-HRH-1这两个5G小区中，方位角在90到180度之间的，返回小区名称、方位角和经度。</x:v>
      </x:c>
      <x:c r="C458" s="23" t="str">
        <x:v>查询深圳梅沙湾D-HRH-2和深圳大梅沙D-HRH-1这两个5G小区的工程参数，包括小区名称、方位角、经度</x:v>
      </x:c>
      <x:c r="D458" s="23" t="str">
        <x:v>AICO Tool Call - Workflow</x:v>
      </x:c>
      <x:c r="E458" s="23" t="str">
        <x:v>Workflow</x:v>
      </x:c>
      <x:c r="F458" s="21" t="n">
        <x:v>1</x:v>
      </x:c>
      <x:c r="G458" s="21" t="str">
        <x:v>2026-08-12T10:34:15.294</x:v>
      </x:c>
      <x:c r="H458" s="36" t="n">
        <x:v>5484.513</x:v>
      </x:c>
      <x:c r="I458" s="36" t="n">
        <x:f>H458/1000</x:f>
        <x:v>5.484513</x:v>
      </x:c>
      <x:c r="J458" s="21" t="str">
        <x:v>data2/dsv4_2_aico.jsonl</x:v>
      </x:c>
      <x:c r="K458" s="21" t="n">
        <x:v>202</x:v>
      </x:c>
      <x:c r="L458" s="21" t="str">
        <x:v>original精确文本</x:v>
      </x:c>
    </x:row>
    <x:row r="459">
      <x:c r="A459" s="38" t="n">
        <x:v>57</x:v>
      </x:c>
      <x:c r="B459" s="23" t="str">
        <x:v>找出深圳梅沙湾D-HRH-2和深圳大梅沙D-HRH-1这两个5G小区中，方位角在90到180度之间的，返回小区名称、方位角和经度。</x:v>
      </x:c>
      <x:c r="C459" s="23" t="str">
        <x:v>查询深圳梅沙湾D-HRH-2和深圳大梅沙D-HRH-1这两个5G小区的工程参数，包括小区名称、方位角、经度</x:v>
      </x:c>
      <x:c r="D459" s="23" t="str">
        <x:v>Recipe - DeepSeek</x:v>
      </x:c>
      <x:c r="E459" s="23" t="str">
        <x:v>DeepSeek recipe调用</x:v>
      </x:c>
      <x:c r="F459" s="21" t="n">
        <x:v>1</x:v>
      </x:c>
      <x:c r="G459" s="21" t="str">
        <x:v>2026-08-12T10:34:22.154</x:v>
      </x:c>
      <x:c r="H459" s="36" t="n">
        <x:v>3570.39</x:v>
      </x:c>
      <x:c r="I459" s="36" t="n">
        <x:f>H459/1000</x:f>
        <x:v>3.5703899999999997</x:v>
      </x:c>
      <x:c r="J459" s="21" t="str">
        <x:v>data2/dsv4_2_recipe_ds.jsonl</x:v>
      </x:c>
      <x:c r="K459" s="21" t="n">
        <x:v>122</x:v>
      </x:c>
      <x:c r="L459" s="21" t="str">
        <x:v>processed精确文本</x:v>
      </x:c>
    </x:row>
    <x:row r="460">
      <x:c r="A460" s="38" t="n">
        <x:v>57</x:v>
      </x:c>
      <x:c r="B460" s="23" t="str">
        <x:v>找出深圳梅沙湾D-HRH-2和深圳大梅沙D-HRH-1这两个5G小区中，方位角在90到180度之间的，返回小区名称、方位角和经度。</x:v>
      </x:c>
      <x:c r="C460" s="23" t="str">
        <x:v>查询深圳梅沙湾D-HRH-2和深圳大梅沙D-HRH-1这两个5G小区的工程参数，包括小区名称、方位角、经度</x:v>
      </x:c>
      <x:c r="D460" s="23" t="str">
        <x:v>Recipe - Qwen执行</x:v>
      </x:c>
      <x:c r="E460" s="23" t="str">
        <x:v>同一问题第1次Qwen调用</x:v>
      </x:c>
      <x:c r="F460" s="21" t="n">
        <x:v>1</x:v>
      </x:c>
      <x:c r="G460" s="21" t="str">
        <x:v>2026-08-12T10:34:26.053</x:v>
      </x:c>
      <x:c r="H460" s="36" t="n">
        <x:v>1407.46</x:v>
      </x:c>
      <x:c r="I460" s="36" t="n">
        <x:f>H460/1000</x:f>
        <x:v>1.40746</x:v>
      </x:c>
      <x:c r="J460" s="21" t="str">
        <x:v>data2/qwen3_2.jsonl</x:v>
      </x:c>
      <x:c r="K460" s="21" t="n">
        <x:v>135</x:v>
      </x:c>
      <x:c r="L460" s="21" t="str">
        <x:v>processed精确文本</x:v>
      </x:c>
    </x:row>
    <x:row r="461">
      <x:c r="A461" s="38" t="n">
        <x:v>57</x:v>
      </x:c>
      <x:c r="B461" s="23" t="str">
        <x:v>找出深圳梅沙湾D-HRH-2和深圳大梅沙D-HRH-1这两个5G小区中，方位角在90到180度之间的，返回小区名称、方位角和经度。</x:v>
      </x:c>
      <x:c r="C461" s="23" t="str">
        <x:v>查询深圳梅沙湾D-HRH-2和深圳大梅沙D-HRH-1这两个5G小区的工程参数，包括小区名称、方位角、经度</x:v>
      </x:c>
      <x:c r="D461" s="23" t="str">
        <x:v>Recipe - Qwen总结</x:v>
      </x:c>
      <x:c r="E461" s="23" t="str">
        <x:v>同一问题最后一次Qwen调用</x:v>
      </x:c>
      <x:c r="F461" s="21" t="n">
        <x:v>1</x:v>
      </x:c>
      <x:c r="G461" s="21" t="str">
        <x:v>2026-08-12T10:34:28.060</x:v>
      </x:c>
      <x:c r="H461" s="36" t="n">
        <x:v>2000.862</x:v>
      </x:c>
      <x:c r="I461" s="36" t="n">
        <x:f>H461/1000</x:f>
        <x:v>2.000862</x:v>
      </x:c>
      <x:c r="J461" s="21" t="str">
        <x:v>data2/qwen3_2.jsonl</x:v>
      </x:c>
      <x:c r="K461" s="21" t="n">
        <x:v>136</x:v>
      </x:c>
      <x:c r="L461" s="21" t="str">
        <x:v>processed精确文本</x:v>
      </x:c>
    </x:row>
    <x:row r="462">
      <x:c r="A462" s="38" t="n">
        <x:v>57</x:v>
      </x:c>
      <x:c r="B462" s="23" t="str">
        <x:v>找出深圳梅沙湾D-HRH-2和深圳大梅沙D-HRH-1这两个5G小区中，方位角在90到180度之间的，返回小区名称、方位角和经度。</x:v>
      </x:c>
      <x:c r="C462" s="23" t="str">
        <x:v>查询深圳梅沙湾D-HRH-2和深圳大梅沙D-HRH-1这两个5G小区的工程参数，包括小区名称、方位角、经度</x:v>
      </x:c>
      <x:c r="D462" s="23" t="str">
        <x:v>AICO总结</x:v>
      </x:c>
      <x:c r="E462" s="23" t="str">
        <x:v>无tool_calls</x:v>
      </x:c>
      <x:c r="F462" s="21" t="n">
        <x:v>1</x:v>
      </x:c>
      <x:c r="G462" s="21" t="str">
        <x:v>2026-08-12T10:34:30.318</x:v>
      </x:c>
      <x:c r="H462" s="36" t="n">
        <x:v>8466.592</x:v>
      </x:c>
      <x:c r="I462" s="36" t="n">
        <x:f>H462/1000</x:f>
        <x:v>8.466592</x:v>
      </x:c>
      <x:c r="J462" s="21" t="str">
        <x:v>data2/dsv4_2_aico.jsonl</x:v>
      </x:c>
      <x:c r="K462" s="21" t="n">
        <x:v>203</x:v>
      </x:c>
      <x:c r="L462" s="21" t="str">
        <x:v>original精确文本</x:v>
      </x:c>
    </x:row>
    <x:row r="463">
      <x:c r="A463" s="38" t="n">
        <x:v>57</x:v>
      </x:c>
      <x:c r="B463" s="23" t="str">
        <x:v>找出深圳梅沙湾D-HRH-2和深圳大梅沙D-HRH-1这两个5G小区中，方位角在90到180度之间的，返回小区名称、方位角和经度。</x:v>
      </x:c>
      <x:c r="C463" s="23" t="str">
        <x:v>查询深圳梅沙湾D-HRH-2和深圳大梅沙D-HRH-1这两个5G小区的工程参数，包括小区名称、方位角、经度</x:v>
      </x:c>
      <x:c r="D463" s="23" t="str">
        <x:v>问题推荐</x:v>
      </x:c>
      <x:c r="E463" s="23" t="str">
        <x:v>后续问题推荐</x:v>
      </x:c>
      <x:c r="F463" s="21" t="n">
        <x:v>1</x:v>
      </x:c>
      <x:c r="G463" s="21" t="str">
        <x:v>2026-08-12T10:34:39.058</x:v>
      </x:c>
      <x:c r="H463" s="36" t="n">
        <x:v>5333.546</x:v>
      </x:c>
      <x:c r="I463" s="36" t="n">
        <x:f>H463/1000</x:f>
        <x:v>5.333546</x:v>
      </x:c>
      <x:c r="J463" s="21" t="str">
        <x:v>data2/dsv4_2_recipe_ds.jsonl</x:v>
      </x:c>
      <x:c r="K463" s="21" t="n">
        <x:v>123</x:v>
      </x:c>
      <x:c r="L463" s="21" t="str">
        <x:v>original精确文本</x:v>
      </x:c>
    </x:row>
    <x:row r="464">
      <x:c r="A464" s="38" t="n">
        <x:v>58</x:v>
      </x:c>
      <x:c r="B464" s="23" t="str">
        <x:v>看一下CBN-深圳梅沙湾U-H5H站点下机械下倾角等于6且电子下倾角不超过9的小区，返回小区名称、机械下倾角和电子下倾角。</x:v>
      </x:c>
      <x:c r="C464" s="23" t="str">
        <x:v>查询CBN-深圳梅沙湾U-H5H站点下机械下倾角等于6且电子下倾角不超过9的小区，返回小区名称、机械下倾角和电子下倾角</x:v>
      </x:c>
      <x:c r="D464" s="23" t="str">
        <x:v>AICO Tool Call - Skill</x:v>
      </x:c>
      <x:c r="E464" s="23" t="str">
        <x:v>Skill</x:v>
      </x:c>
      <x:c r="F464" s="21" t="n">
        <x:v>1</x:v>
      </x:c>
      <x:c r="G464" s="21" t="str">
        <x:v>2026-08-12T10:34:39.959</x:v>
      </x:c>
      <x:c r="H464" s="36" t="n">
        <x:v>5866.419</x:v>
      </x:c>
      <x:c r="I464" s="36" t="n">
        <x:f>H464/1000</x:f>
        <x:v>5.866419</x:v>
      </x:c>
      <x:c r="J464" s="21" t="str">
        <x:v>data2/dsv4_2_aico.jsonl</x:v>
      </x:c>
      <x:c r="K464" s="21" t="n">
        <x:v>204</x:v>
      </x:c>
      <x:c r="L464" s="21" t="str">
        <x:v>original精确文本</x:v>
      </x:c>
    </x:row>
    <x:row r="465">
      <x:c r="A465" s="38" t="n">
        <x:v>58</x:v>
      </x:c>
      <x:c r="B465" s="23" t="str">
        <x:v>看一下CBN-深圳梅沙湾U-H5H站点下机械下倾角等于6且电子下倾角不超过9的小区，返回小区名称、机械下倾角和电子下倾角。</x:v>
      </x:c>
      <x:c r="C465" s="23" t="str">
        <x:v>查询CBN-深圳梅沙湾U-H5H站点下机械下倾角等于6且电子下倾角不超过9的小区，返回小区名称、机械下倾角和电子下倾角</x:v>
      </x:c>
      <x:c r="D465" s="23" t="str">
        <x:v>AICO Tool Call - Workflow</x:v>
      </x:c>
      <x:c r="E465" s="23" t="str">
        <x:v>Workflow</x:v>
      </x:c>
      <x:c r="F465" s="21" t="n">
        <x:v>1</x:v>
      </x:c>
      <x:c r="G465" s="21" t="str">
        <x:v>2026-08-12T10:34:45.983</x:v>
      </x:c>
      <x:c r="H465" s="36" t="n">
        <x:v>5661.469</x:v>
      </x:c>
      <x:c r="I465" s="36" t="n">
        <x:f>H465/1000</x:f>
        <x:v>5.661469</x:v>
      </x:c>
      <x:c r="J465" s="21" t="str">
        <x:v>data2/dsv4_2_aico.jsonl</x:v>
      </x:c>
      <x:c r="K465" s="21" t="n">
        <x:v>205</x:v>
      </x:c>
      <x:c r="L465" s="21" t="str">
        <x:v>original精确文本</x:v>
      </x:c>
    </x:row>
    <x:row r="466">
      <x:c r="A466" s="38" t="n">
        <x:v>58</x:v>
      </x:c>
      <x:c r="B466" s="23" t="str">
        <x:v>看一下CBN-深圳梅沙湾U-H5H站点下机械下倾角等于6且电子下倾角不超过9的小区，返回小区名称、机械下倾角和电子下倾角。</x:v>
      </x:c>
      <x:c r="C466" s="23" t="str">
        <x:v>查询CBN-深圳梅沙湾U-H5H站点下机械下倾角等于6且电子下倾角不超过9的小区，返回小区名称、机械下倾角和电子下倾角</x:v>
      </x:c>
      <x:c r="D466" s="23" t="str">
        <x:v>Recipe - DeepSeek</x:v>
      </x:c>
      <x:c r="E466" s="23" t="str">
        <x:v>DeepSeek recipe调用</x:v>
      </x:c>
      <x:c r="F466" s="21" t="n">
        <x:v>1</x:v>
      </x:c>
      <x:c r="G466" s="21" t="str">
        <x:v>2026-08-12T10:34:53.037</x:v>
      </x:c>
      <x:c r="H466" s="36" t="n">
        <x:v>4634.463</x:v>
      </x:c>
      <x:c r="I466" s="36" t="n">
        <x:f>H466/1000</x:f>
        <x:v>4.634462999999999</x:v>
      </x:c>
      <x:c r="J466" s="21" t="str">
        <x:v>data2/dsv4_2_recipe_ds.jsonl</x:v>
      </x:c>
      <x:c r="K466" s="21" t="n">
        <x:v>124</x:v>
      </x:c>
      <x:c r="L466" s="21" t="str">
        <x:v>processed精确文本</x:v>
      </x:c>
    </x:row>
    <x:row r="467">
      <x:c r="A467" s="38" t="n">
        <x:v>58</x:v>
      </x:c>
      <x:c r="B467" s="23" t="str">
        <x:v>看一下CBN-深圳梅沙湾U-H5H站点下机械下倾角等于6且电子下倾角不超过9的小区，返回小区名称、机械下倾角和电子下倾角。</x:v>
      </x:c>
      <x:c r="C467" s="23" t="str">
        <x:v>查询CBN-深圳梅沙湾U-H5H站点下机械下倾角等于6且电子下倾角不超过9的小区，返回小区名称、机械下倾角和电子下倾角</x:v>
      </x:c>
      <x:c r="D467" s="23" t="str">
        <x:v>Recipe - Qwen执行</x:v>
      </x:c>
      <x:c r="E467" s="23" t="str">
        <x:v>同一问题第1次Qwen调用</x:v>
      </x:c>
      <x:c r="F467" s="21" t="n">
        <x:v>1</x:v>
      </x:c>
      <x:c r="G467" s="21" t="str">
        <x:v>2026-08-12T10:34:58.023</x:v>
      </x:c>
      <x:c r="H467" s="36" t="n">
        <x:v>1565.763</x:v>
      </x:c>
      <x:c r="I467" s="36" t="n">
        <x:f>H467/1000</x:f>
        <x:v>1.565763</x:v>
      </x:c>
      <x:c r="J467" s="21" t="str">
        <x:v>data2/qwen3_2.jsonl</x:v>
      </x:c>
      <x:c r="K467" s="21" t="n">
        <x:v>137</x:v>
      </x:c>
      <x:c r="L467" s="21" t="str">
        <x:v>processed精确文本</x:v>
      </x:c>
    </x:row>
    <x:row r="468">
      <x:c r="A468" s="38" t="n">
        <x:v>58</x:v>
      </x:c>
      <x:c r="B468" s="23" t="str">
        <x:v>看一下CBN-深圳梅沙湾U-H5H站点下机械下倾角等于6且电子下倾角不超过9的小区，返回小区名称、机械下倾角和电子下倾角。</x:v>
      </x:c>
      <x:c r="C468" s="23" t="str">
        <x:v>查询CBN-深圳梅沙湾U-H5H站点下机械下倾角等于6且电子下倾角不超过9的小区，返回小区名称、机械下倾角和电子下倾角</x:v>
      </x:c>
      <x:c r="D468" s="23" t="str">
        <x:v>Recipe - Qwen总结</x:v>
      </x:c>
      <x:c r="E468" s="23" t="str">
        <x:v>同一问题最后一次Qwen调用</x:v>
      </x:c>
      <x:c r="F468" s="21" t="n">
        <x:v>1</x:v>
      </x:c>
      <x:c r="G468" s="21" t="str">
        <x:v>2026-08-12T10:35:00.086</x:v>
      </x:c>
      <x:c r="H468" s="36" t="n">
        <x:v>3582.092</x:v>
      </x:c>
      <x:c r="I468" s="36" t="n">
        <x:f>H468/1000</x:f>
        <x:v>3.5820920000000003</x:v>
      </x:c>
      <x:c r="J468" s="21" t="str">
        <x:v>data2/qwen3_2.jsonl</x:v>
      </x:c>
      <x:c r="K468" s="21" t="n">
        <x:v>138</x:v>
      </x:c>
      <x:c r="L468" s="21" t="str">
        <x:v>processed精确文本</x:v>
      </x:c>
    </x:row>
    <x:row r="469">
      <x:c r="A469" s="38" t="n">
        <x:v>58</x:v>
      </x:c>
      <x:c r="B469" s="23" t="str">
        <x:v>看一下CBN-深圳梅沙湾U-H5H站点下机械下倾角等于6且电子下倾角不超过9的小区，返回小区名称、机械下倾角和电子下倾角。</x:v>
      </x:c>
      <x:c r="C469" s="23" t="str">
        <x:v>查询CBN-深圳梅沙湾U-H5H站点下机械下倾角等于6且电子下倾角不超过9的小区，返回小区名称、机械下倾角和电子下倾角</x:v>
      </x:c>
      <x:c r="D469" s="23" t="str">
        <x:v>AICO总结</x:v>
      </x:c>
      <x:c r="E469" s="23" t="str">
        <x:v>无tool_calls</x:v>
      </x:c>
      <x:c r="F469" s="21" t="n">
        <x:v>1</x:v>
      </x:c>
      <x:c r="G469" s="21" t="str">
        <x:v>2026-08-12T10:35:03.930</x:v>
      </x:c>
      <x:c r="H469" s="36" t="n">
        <x:v>6915.84</x:v>
      </x:c>
      <x:c r="I469" s="36" t="n">
        <x:f>H469/1000</x:f>
        <x:v>6.91584</x:v>
      </x:c>
      <x:c r="J469" s="21" t="str">
        <x:v>data2/dsv4_2_aico.jsonl</x:v>
      </x:c>
      <x:c r="K469" s="21" t="n">
        <x:v>206</x:v>
      </x:c>
      <x:c r="L469" s="21" t="str">
        <x:v>original精确文本</x:v>
      </x:c>
    </x:row>
    <x:row r="470">
      <x:c r="A470" s="38" t="n">
        <x:v>58</x:v>
      </x:c>
      <x:c r="B470" s="23" t="str">
        <x:v>看一下CBN-深圳梅沙湾U-H5H站点下机械下倾角等于6且电子下倾角不超过9的小区，返回小区名称、机械下倾角和电子下倾角。</x:v>
      </x:c>
      <x:c r="C470" s="23" t="str">
        <x:v>查询CBN-深圳梅沙湾U-H5H站点下机械下倾角等于6且电子下倾角不超过9的小区，返回小区名称、机械下倾角和电子下倾角</x:v>
      </x:c>
      <x:c r="D470" s="23" t="str">
        <x:v>问题推荐</x:v>
      </x:c>
      <x:c r="E470" s="23" t="str">
        <x:v>后续问题推荐</x:v>
      </x:c>
      <x:c r="F470" s="21" t="n">
        <x:v>1</x:v>
      </x:c>
      <x:c r="G470" s="21" t="str">
        <x:v>2026-08-12T10:35:11.125</x:v>
      </x:c>
      <x:c r="H470" s="36" t="n">
        <x:v>5383.35</x:v>
      </x:c>
      <x:c r="I470" s="36" t="n">
        <x:f>H470/1000</x:f>
        <x:v>5.38335</x:v>
      </x:c>
      <x:c r="J470" s="21" t="str">
        <x:v>data2/dsv4_2_recipe_ds.jsonl</x:v>
      </x:c>
      <x:c r="K470" s="21" t="n">
        <x:v>125</x:v>
      </x:c>
      <x:c r="L470" s="21" t="str">
        <x:v>original精确文本</x:v>
      </x:c>
    </x:row>
    <x:row r="471">
      <x:c r="A471" s="38" t="n">
        <x:v>59</x:v>
      </x:c>
      <x:c r="B471" s="23" t="str">
        <x:v>确认一下CBN-深圳东华风车U-H5H-0711这个小区，如果方位角是0或者180，返回它的基站标识、移动网号和方位角。</x:v>
      </x:c>
      <x:c r="C471" s="23" t="str">
        <x:v>查询小区CBN-深圳东华风车U-H5H-0711的基站标识、移动网号和方位角</x:v>
      </x:c>
      <x:c r="D471" s="23" t="str">
        <x:v>AICO Tool Call - Skill</x:v>
      </x:c>
      <x:c r="E471" s="23" t="str">
        <x:v>Skill</x:v>
      </x:c>
      <x:c r="F471" s="21" t="n">
        <x:v>1</x:v>
      </x:c>
      <x:c r="G471" s="21" t="str">
        <x:v>2026-08-12T10:35:12.030</x:v>
      </x:c>
      <x:c r="H471" s="36" t="n">
        <x:v>5515.454</x:v>
      </x:c>
      <x:c r="I471" s="36" t="n">
        <x:f>H471/1000</x:f>
        <x:v>5.515454</x:v>
      </x:c>
      <x:c r="J471" s="21" t="str">
        <x:v>data2/dsv4_2_aico.jsonl</x:v>
      </x:c>
      <x:c r="K471" s="21" t="n">
        <x:v>207</x:v>
      </x:c>
      <x:c r="L471" s="21" t="str">
        <x:v>original精确文本</x:v>
      </x:c>
    </x:row>
    <x:row r="472">
      <x:c r="A472" s="38" t="n">
        <x:v>59</x:v>
      </x:c>
      <x:c r="B472" s="23" t="str">
        <x:v>确认一下CBN-深圳东华风车U-H5H-0711这个小区，如果方位角是0或者180，返回它的基站标识、移动网号和方位角。</x:v>
      </x:c>
      <x:c r="C472" s="23" t="str">
        <x:v>查询小区CBN-深圳东华风车U-H5H-0711的基站标识、移动网号和方位角</x:v>
      </x:c>
      <x:c r="D472" s="23" t="str">
        <x:v>AICO Tool Call - Workflow</x:v>
      </x:c>
      <x:c r="E472" s="23" t="str">
        <x:v>Workflow</x:v>
      </x:c>
      <x:c r="F472" s="21" t="n">
        <x:v>1</x:v>
      </x:c>
      <x:c r="G472" s="21" t="str">
        <x:v>2026-08-12T10:35:17.697</x:v>
      </x:c>
      <x:c r="H472" s="36" t="n">
        <x:v>5216.074</x:v>
      </x:c>
      <x:c r="I472" s="36" t="n">
        <x:f>H472/1000</x:f>
        <x:v>5.216074</x:v>
      </x:c>
      <x:c r="J472" s="21" t="str">
        <x:v>data2/dsv4_2_aico.jsonl</x:v>
      </x:c>
      <x:c r="K472" s="21" t="n">
        <x:v>208</x:v>
      </x:c>
      <x:c r="L472" s="21" t="str">
        <x:v>original精确文本</x:v>
      </x:c>
    </x:row>
    <x:row r="473">
      <x:c r="A473" s="38" t="n">
        <x:v>59</x:v>
      </x:c>
      <x:c r="B473" s="23" t="str">
        <x:v>确认一下CBN-深圳东华风车U-H5H-0711这个小区，如果方位角是0或者180，返回它的基站标识、移动网号和方位角。</x:v>
      </x:c>
      <x:c r="C473" s="23" t="str">
        <x:v>查询小区CBN-深圳东华风车U-H5H-0711的基站标识、移动网号和方位角</x:v>
      </x:c>
      <x:c r="D473" s="23" t="str">
        <x:v>Recipe - DeepSeek</x:v>
      </x:c>
      <x:c r="E473" s="23" t="str">
        <x:v>DeepSeek recipe调用</x:v>
      </x:c>
      <x:c r="F473" s="21" t="n">
        <x:v>1</x:v>
      </x:c>
      <x:c r="G473" s="21" t="str">
        <x:v>2026-08-12T10:35:24.251</x:v>
      </x:c>
      <x:c r="H473" s="36" t="n">
        <x:v>3487.511</x:v>
      </x:c>
      <x:c r="I473" s="36" t="n">
        <x:f>H473/1000</x:f>
        <x:v>3.487511</x:v>
      </x:c>
      <x:c r="J473" s="21" t="str">
        <x:v>data2/dsv4_2_recipe_ds.jsonl</x:v>
      </x:c>
      <x:c r="K473" s="21" t="n">
        <x:v>126</x:v>
      </x:c>
      <x:c r="L473" s="21" t="str">
        <x:v>processed精确文本</x:v>
      </x:c>
    </x:row>
    <x:row r="474">
      <x:c r="A474" s="38" t="n">
        <x:v>59</x:v>
      </x:c>
      <x:c r="B474" s="23" t="str">
        <x:v>确认一下CBN-深圳东华风车U-H5H-0711这个小区，如果方位角是0或者180，返回它的基站标识、移动网号和方位角。</x:v>
      </x:c>
      <x:c r="C474" s="23" t="str">
        <x:v>查询小区CBN-深圳东华风车U-H5H-0711的基站标识、移动网号和方位角</x:v>
      </x:c>
      <x:c r="D474" s="23" t="str">
        <x:v>Recipe - Qwen执行</x:v>
      </x:c>
      <x:c r="E474" s="23" t="str">
        <x:v>同一问题第1次Qwen调用</x:v>
      </x:c>
      <x:c r="F474" s="21" t="n">
        <x:v>1</x:v>
      </x:c>
      <x:c r="G474" s="21" t="str">
        <x:v>2026-08-12T10:35:28.072</x:v>
      </x:c>
      <x:c r="H474" s="36" t="n">
        <x:v>1280.774</x:v>
      </x:c>
      <x:c r="I474" s="36" t="n">
        <x:f>H474/1000</x:f>
        <x:v>1.2807739999999999</x:v>
      </x:c>
      <x:c r="J474" s="21" t="str">
        <x:v>data2/qwen3_2.jsonl</x:v>
      </x:c>
      <x:c r="K474" s="21" t="n">
        <x:v>139</x:v>
      </x:c>
      <x:c r="L474" s="21" t="str">
        <x:v>processed精确文本</x:v>
      </x:c>
    </x:row>
    <x:row r="475">
      <x:c r="A475" s="38" t="n">
        <x:v>59</x:v>
      </x:c>
      <x:c r="B475" s="23" t="str">
        <x:v>确认一下CBN-深圳东华风车U-H5H-0711这个小区，如果方位角是0或者180，返回它的基站标识、移动网号和方位角。</x:v>
      </x:c>
      <x:c r="C475" s="23" t="str">
        <x:v>查询小区CBN-深圳东华风车U-H5H-0711的基站标识、移动网号和方位角</x:v>
      </x:c>
      <x:c r="D475" s="23" t="str">
        <x:v>Recipe - Qwen总结</x:v>
      </x:c>
      <x:c r="E475" s="23" t="str">
        <x:v>同一问题最后一次Qwen调用</x:v>
      </x:c>
      <x:c r="F475" s="21" t="n">
        <x:v>1</x:v>
      </x:c>
      <x:c r="G475" s="21" t="str">
        <x:v>2026-08-12T10:35:29.846</x:v>
      </x:c>
      <x:c r="H475" s="36" t="n">
        <x:v>1767.78</x:v>
      </x:c>
      <x:c r="I475" s="36" t="n">
        <x:f>H475/1000</x:f>
        <x:v>1.76778</x:v>
      </x:c>
      <x:c r="J475" s="21" t="str">
        <x:v>data2/qwen3_2.jsonl</x:v>
      </x:c>
      <x:c r="K475" s="21" t="n">
        <x:v>140</x:v>
      </x:c>
      <x:c r="L475" s="21" t="str">
        <x:v>processed精确文本</x:v>
      </x:c>
    </x:row>
    <x:row r="476">
      <x:c r="A476" s="38" t="n">
        <x:v>59</x:v>
      </x:c>
      <x:c r="B476" s="23" t="str">
        <x:v>确认一下CBN-深圳东华风车U-H5H-0711这个小区，如果方位角是0或者180，返回它的基站标识、移动网号和方位角。</x:v>
      </x:c>
      <x:c r="C476" s="23" t="str">
        <x:v>查询小区CBN-深圳东华风车U-H5H-0711的基站标识、移动网号和方位角</x:v>
      </x:c>
      <x:c r="D476" s="23" t="str">
        <x:v>AICO总结</x:v>
      </x:c>
      <x:c r="E476" s="23" t="str">
        <x:v>无tool_calls</x:v>
      </x:c>
      <x:c r="F476" s="21" t="n">
        <x:v>1</x:v>
      </x:c>
      <x:c r="G476" s="21" t="str">
        <x:v>2026-08-12T10:35:31.870</x:v>
      </x:c>
      <x:c r="H476" s="36" t="n">
        <x:v>5980.166</x:v>
      </x:c>
      <x:c r="I476" s="36" t="n">
        <x:f>H476/1000</x:f>
        <x:v>5.9801660000000005</x:v>
      </x:c>
      <x:c r="J476" s="21" t="str">
        <x:v>data2/dsv4_2_aico.jsonl</x:v>
      </x:c>
      <x:c r="K476" s="21" t="n">
        <x:v>209</x:v>
      </x:c>
      <x:c r="L476" s="21" t="str">
        <x:v>original精确文本</x:v>
      </x:c>
    </x:row>
    <x:row r="477">
      <x:c r="A477" s="38" t="n">
        <x:v>59</x:v>
      </x:c>
      <x:c r="B477" s="23" t="str">
        <x:v>确认一下CBN-深圳东华风车U-H5H-0711这个小区，如果方位角是0或者180，返回它的基站标识、移动网号和方位角。</x:v>
      </x:c>
      <x:c r="C477" s="23" t="str">
        <x:v>查询小区CBN-深圳东华风车U-H5H-0711的基站标识、移动网号和方位角</x:v>
      </x:c>
      <x:c r="D477" s="23" t="str">
        <x:v>问题推荐</x:v>
      </x:c>
      <x:c r="E477" s="23" t="str">
        <x:v>后续问题推荐</x:v>
      </x:c>
      <x:c r="F477" s="21" t="n">
        <x:v>1</x:v>
      </x:c>
      <x:c r="G477" s="21" t="str">
        <x:v>2026-08-12T10:35:38.124</x:v>
      </x:c>
      <x:c r="H477" s="36" t="n">
        <x:v>5876.921</x:v>
      </x:c>
      <x:c r="I477" s="36" t="n">
        <x:f>H477/1000</x:f>
        <x:v>5.876921</x:v>
      </x:c>
      <x:c r="J477" s="21" t="str">
        <x:v>data2/dsv4_2_recipe_ds.jsonl</x:v>
      </x:c>
      <x:c r="K477" s="21" t="n">
        <x:v>127</x:v>
      </x:c>
      <x:c r="L477" s="21" t="str">
        <x:v>original精确文本</x:v>
      </x:c>
    </x:row>
    <x:row r="478">
      <x:c r="A478" s="38" t="n">
        <x:v>60</x:v>
      </x:c>
      <x:c r="B478" s="23" t="str">
        <x:v>帮我筛一下CBN-福州仓山-福州南站火车南站西北美化塔C-HRRH和CBN-深圳天麓八区U-H5H这两个站点下，天线高度不等于20米的小区，返回小区名称、天线高度和纬度。</x:v>
      </x:c>
      <x:c r="C478" s="23" t="str">
        <x:v>查询站点CBN-福州仓山-福州南站火车南站西北美化塔C-HRRH和CBN-深圳天麓八区U-H5H下所有小区的工程参数，包括小区名称、天线高度、纬度</x:v>
      </x:c>
      <x:c r="D478" s="23" t="str">
        <x:v>AICO Tool Call - Skill</x:v>
      </x:c>
      <x:c r="E478" s="23" t="str">
        <x:v>Skill</x:v>
      </x:c>
      <x:c r="F478" s="21" t="n">
        <x:v>1</x:v>
      </x:c>
      <x:c r="G478" s="21" t="str">
        <x:v>2026-08-12T10:35:38.999</x:v>
      </x:c>
      <x:c r="H478" s="36" t="n">
        <x:v>6111.07</x:v>
      </x:c>
      <x:c r="I478" s="36" t="n">
        <x:f>H478/1000</x:f>
        <x:v>6.11107</x:v>
      </x:c>
      <x:c r="J478" s="21" t="str">
        <x:v>data2/dsv4_2_aico.jsonl</x:v>
      </x:c>
      <x:c r="K478" s="21" t="n">
        <x:v>210</x:v>
      </x:c>
      <x:c r="L478" s="21" t="str">
        <x:v>original精确文本</x:v>
      </x:c>
    </x:row>
    <x:row r="479">
      <x:c r="A479" s="38" t="n">
        <x:v>60</x:v>
      </x:c>
      <x:c r="B479" s="23" t="str">
        <x:v>帮我筛一下CBN-福州仓山-福州南站火车南站西北美化塔C-HRRH和CBN-深圳天麓八区U-H5H这两个站点下，天线高度不等于20米的小区，返回小区名称、天线高度和纬度。</x:v>
      </x:c>
      <x:c r="C479" s="23" t="str">
        <x:v>查询站点CBN-福州仓山-福州南站火车南站西北美化塔C-HRRH和CBN-深圳天麓八区U-H5H下所有小区的工程参数，包括小区名称、天线高度、纬度</x:v>
      </x:c>
      <x:c r="D479" s="23" t="str">
        <x:v>AICO Tool Call - Workflow</x:v>
      </x:c>
      <x:c r="E479" s="23" t="str">
        <x:v>Workflow</x:v>
      </x:c>
      <x:c r="F479" s="21" t="n">
        <x:v>1</x:v>
      </x:c>
      <x:c r="G479" s="21" t="str">
        <x:v>2026-08-12T10:35:45.270</x:v>
      </x:c>
      <x:c r="H479" s="36" t="n">
        <x:v>5435.63</x:v>
      </x:c>
      <x:c r="I479" s="36" t="n">
        <x:f>H479/1000</x:f>
        <x:v>5.43563</x:v>
      </x:c>
      <x:c r="J479" s="21" t="str">
        <x:v>data2/dsv4_2_aico.jsonl</x:v>
      </x:c>
      <x:c r="K479" s="21" t="n">
        <x:v>211</x:v>
      </x:c>
      <x:c r="L479" s="21" t="str">
        <x:v>original精确文本</x:v>
      </x:c>
    </x:row>
    <x:row r="480">
      <x:c r="A480" s="38" t="n">
        <x:v>60</x:v>
      </x:c>
      <x:c r="B480" s="23" t="str">
        <x:v>帮我筛一下CBN-福州仓山-福州南站火车南站西北美化塔C-HRRH和CBN-深圳天麓八区U-H5H这两个站点下，天线高度不等于20米的小区，返回小区名称、天线高度和纬度。</x:v>
      </x:c>
      <x:c r="C480" s="23" t="str">
        <x:v>查询站点CBN-福州仓山-福州南站火车南站西北美化塔C-HRRH和CBN-深圳天麓八区U-H5H下所有小区的工程参数，包括小区名称、天线高度、纬度</x:v>
      </x:c>
      <x:c r="D480" s="23" t="str">
        <x:v>Recipe - DeepSeek</x:v>
      </x:c>
      <x:c r="E480" s="23" t="str">
        <x:v>DeepSeek recipe调用</x:v>
      </x:c>
      <x:c r="F480" s="21" t="n">
        <x:v>1</x:v>
      </x:c>
      <x:c r="G480" s="21" t="str">
        <x:v>2026-08-12T10:35:51.860</x:v>
      </x:c>
      <x:c r="H480" s="36" t="n">
        <x:v>4355.711</x:v>
      </x:c>
      <x:c r="I480" s="36" t="n">
        <x:f>H480/1000</x:f>
        <x:v>4.355711</x:v>
      </x:c>
      <x:c r="J480" s="21" t="str">
        <x:v>data2/dsv4_2_recipe_ds.jsonl</x:v>
      </x:c>
      <x:c r="K480" s="21" t="n">
        <x:v>128</x:v>
      </x:c>
      <x:c r="L480" s="21" t="str">
        <x:v>processed精确文本</x:v>
      </x:c>
    </x:row>
    <x:row r="481">
      <x:c r="A481" s="38" t="n">
        <x:v>60</x:v>
      </x:c>
      <x:c r="B481" s="23" t="str">
        <x:v>帮我筛一下CBN-福州仓山-福州南站火车南站西北美化塔C-HRRH和CBN-深圳天麓八区U-H5H这两个站点下，天线高度不等于20米的小区，返回小区名称、天线高度和纬度。</x:v>
      </x:c>
      <x:c r="C481" s="23" t="str">
        <x:v>查询站点CBN-福州仓山-福州南站火车南站西北美化塔C-HRRH和CBN-深圳天麓八区U-H5H下所有小区的工程参数，包括小区名称、天线高度、纬度</x:v>
      </x:c>
      <x:c r="D481" s="23" t="str">
        <x:v>Recipe - Qwen执行</x:v>
      </x:c>
      <x:c r="E481" s="23" t="str">
        <x:v>同一问题第1次Qwen调用</x:v>
      </x:c>
      <x:c r="F481" s="21" t="n">
        <x:v>1</x:v>
      </x:c>
      <x:c r="G481" s="21" t="str">
        <x:v>2026-08-12T10:35:56.539</x:v>
      </x:c>
      <x:c r="H481" s="36" t="n">
        <x:v>1647.217</x:v>
      </x:c>
      <x:c r="I481" s="36" t="n">
        <x:f>H481/1000</x:f>
        <x:v>1.6472170000000002</x:v>
      </x:c>
      <x:c r="J481" s="21" t="str">
        <x:v>data2/qwen3_2.jsonl</x:v>
      </x:c>
      <x:c r="K481" s="21" t="n">
        <x:v>141</x:v>
      </x:c>
      <x:c r="L481" s="21" t="str">
        <x:v>processed精确文本</x:v>
      </x:c>
    </x:row>
    <x:row r="482">
      <x:c r="A482" s="38" t="n">
        <x:v>60</x:v>
      </x:c>
      <x:c r="B482" s="23" t="str">
        <x:v>帮我筛一下CBN-福州仓山-福州南站火车南站西北美化塔C-HRRH和CBN-深圳天麓八区U-H5H这两个站点下，天线高度不等于20米的小区，返回小区名称、天线高度和纬度。</x:v>
      </x:c>
      <x:c r="C482" s="23" t="str">
        <x:v>查询站点CBN-福州仓山-福州南站火车南站西北美化塔C-HRRH和CBN-深圳天麓八区U-H5H下所有小区的工程参数，包括小区名称、天线高度、纬度</x:v>
      </x:c>
      <x:c r="D482" s="23" t="str">
        <x:v>Recipe - Qwen执行</x:v>
      </x:c>
      <x:c r="E482" s="23" t="str">
        <x:v>同一问题第2次Qwen调用</x:v>
      </x:c>
      <x:c r="F482" s="21" t="n">
        <x:v>2</x:v>
      </x:c>
      <x:c r="G482" s="21" t="str">
        <x:v>2026-08-12T10:35:58.691</x:v>
      </x:c>
      <x:c r="H482" s="36" t="n">
        <x:v>2514.54</x:v>
      </x:c>
      <x:c r="I482" s="36" t="n">
        <x:f>H482/1000</x:f>
        <x:v>2.5145399999999998</x:v>
      </x:c>
      <x:c r="J482" s="21" t="str">
        <x:v>data2/qwen3_2.jsonl</x:v>
      </x:c>
      <x:c r="K482" s="21" t="n">
        <x:v>142</x:v>
      </x:c>
      <x:c r="L482" s="21" t="str">
        <x:v>processed精确文本</x:v>
      </x:c>
    </x:row>
    <x:row r="483">
      <x:c r="A483" s="38" t="n">
        <x:v>60</x:v>
      </x:c>
      <x:c r="B483" s="23" t="str">
        <x:v>帮我筛一下CBN-福州仓山-福州南站火车南站西北美化塔C-HRRH和CBN-深圳天麓八区U-H5H这两个站点下，天线高度不等于20米的小区，返回小区名称、天线高度和纬度。</x:v>
      </x:c>
      <x:c r="C483" s="23" t="str">
        <x:v>查询站点CBN-福州仓山-福州南站火车南站西北美化塔C-HRRH和CBN-深圳天麓八区U-H5H下所有小区的工程参数，包括小区名称、天线高度、纬度</x:v>
      </x:c>
      <x:c r="D483" s="23" t="str">
        <x:v>AICO总结</x:v>
      </x:c>
      <x:c r="E483" s="23" t="str">
        <x:v>无tool_calls</x:v>
      </x:c>
      <x:c r="F483" s="21" t="n">
        <x:v>1</x:v>
      </x:c>
      <x:c r="G483" s="21" t="str">
        <x:v>2026-08-12T10:36:01.470</x:v>
      </x:c>
      <x:c r="H483" s="36" t="n">
        <x:v>6992.239</x:v>
      </x:c>
      <x:c r="I483" s="36" t="n">
        <x:f>H483/1000</x:f>
        <x:v>6.992239</x:v>
      </x:c>
      <x:c r="J483" s="21" t="str">
        <x:v>data2/dsv4_2_aico.jsonl</x:v>
      </x:c>
      <x:c r="K483" s="21" t="n">
        <x:v>212</x:v>
      </x:c>
      <x:c r="L483" s="21" t="str">
        <x:v>original精确文本</x:v>
      </x:c>
    </x:row>
    <x:row r="484">
      <x:c r="A484" s="38" t="n">
        <x:v>60</x:v>
      </x:c>
      <x:c r="B484" s="23" t="str">
        <x:v>帮我筛一下CBN-福州仓山-福州南站火车南站西北美化塔C-HRRH和CBN-深圳天麓八区U-H5H这两个站点下，天线高度不等于20米的小区，返回小区名称、天线高度和纬度。</x:v>
      </x:c>
      <x:c r="C484" s="23" t="str">
        <x:v>查询站点CBN-福州仓山-福州南站火车南站西北美化塔C-HRRH和CBN-深圳天麓八区U-H5H下所有小区的工程参数，包括小区名称、天线高度、纬度</x:v>
      </x:c>
      <x:c r="D484" s="23" t="str">
        <x:v>问题推荐</x:v>
      </x:c>
      <x:c r="E484" s="23" t="str">
        <x:v>后续问题推荐</x:v>
      </x:c>
      <x:c r="F484" s="21" t="n">
        <x:v>1</x:v>
      </x:c>
      <x:c r="G484" s="21" t="str">
        <x:v>2026-08-12T10:36:08.725</x:v>
      </x:c>
      <x:c r="H484" s="36" t="n">
        <x:v>2387.501</x:v>
      </x:c>
      <x:c r="I484" s="36" t="n">
        <x:f>H484/1000</x:f>
        <x:v>2.3875010000000003</x:v>
      </x:c>
      <x:c r="J484" s="21" t="str">
        <x:v>data2/dsv4_2_recipe_ds.jsonl</x:v>
      </x:c>
      <x:c r="K484" s="21" t="n">
        <x:v>129</x:v>
      </x:c>
      <x:c r="L484" s="21" t="str">
        <x:v>original精确文本</x:v>
      </x:c>
    </x:row>
    <x:row r="485">
      <x:c r="A485" s="38" t="n">
        <x:v>60</x:v>
      </x:c>
      <x:c r="B485" s="23" t="str">
        <x:v>帮我筛一下CBN-福州仓山-福州南站火车南站西北美化塔C-HRRH和CBN-深圳天麓八区U-H5H这两个站点下，天线高度不等于20米的小区，返回小区名称、天线高度和纬度。</x:v>
      </x:c>
      <x:c r="C485" s="23" t="str">
        <x:v>查询站点CBN-福州仓山-福州南站火车南站西北美化塔C-HRRH和CBN-深圳天麓八区U-H5H下所有小区的工程参数，包括小区名称、天线高度、纬度</x:v>
      </x:c>
      <x:c r="D485" s="23" t="str">
        <x:v>Recipe - Qwen执行</x:v>
      </x:c>
      <x:c r="E485" s="23" t="str">
        <x:v>同一问题第3次Qwen调用</x:v>
      </x:c>
      <x:c r="F485" s="21" t="n">
        <x:v>3</x:v>
      </x:c>
      <x:c r="G485" s="21" t="str">
        <x:v>2026-08-12T11:58:20.760</x:v>
      </x:c>
      <x:c r="H485" s="36" t="n">
        <x:v>39.332</x:v>
      </x:c>
      <x:c r="I485" s="36" t="n">
        <x:f>H485/1000</x:f>
        <x:v>0.039332</x:v>
      </x:c>
      <x:c r="J485" s="21" t="str">
        <x:v>data2/qwen3_2.jsonl</x:v>
      </x:c>
      <x:c r="K485" s="21" t="n">
        <x:v>143</x:v>
      </x:c>
      <x:c r="L485" s="21" t="str">
        <x:v>时间顺序回退</x:v>
      </x:c>
    </x:row>
    <x:row r="486">
      <x:c r="A486" s="38" t="n">
        <x:v>60</x:v>
      </x:c>
      <x:c r="B486" s="23" t="str">
        <x:v>帮我筛一下CBN-福州仓山-福州南站火车南站西北美化塔C-HRRH和CBN-深圳天麓八区U-H5H这两个站点下，天线高度不等于20米的小区，返回小区名称、天线高度和纬度。</x:v>
      </x:c>
      <x:c r="C486" s="23" t="str">
        <x:v>查询站点CBN-福州仓山-福州南站火车南站西北美化塔C-HRRH和CBN-深圳天麓八区U-H5H下所有小区的工程参数，包括小区名称、天线高度、纬度</x:v>
      </x:c>
      <x:c r="D486" s="23" t="str">
        <x:v>Recipe - DeepSeek</x:v>
      </x:c>
      <x:c r="E486" s="23" t="str">
        <x:v>DeepSeek recipe调用</x:v>
      </x:c>
      <x:c r="F486" s="21" t="n">
        <x:v>2</x:v>
      </x:c>
      <x:c r="G486" s="21" t="str">
        <x:v>2026-08-12T11:58:20.825</x:v>
      </x:c>
      <x:c r="H486" s="36" t="n">
        <x:v>33.585</x:v>
      </x:c>
      <x:c r="I486" s="36" t="n">
        <x:f>H486/1000</x:f>
        <x:v>0.033585000000000004</x:v>
      </x:c>
      <x:c r="J486" s="21" t="str">
        <x:v>data2/dsv4_2_recipe_ds.jsonl</x:v>
      </x:c>
      <x:c r="K486" s="21" t="n">
        <x:v>130</x:v>
      </x:c>
      <x:c r="L486" s="21" t="str">
        <x:v>时间顺序回退</x:v>
      </x:c>
    </x:row>
    <x:row r="487">
      <x:c r="A487" s="38" t="n">
        <x:v>60</x:v>
      </x:c>
      <x:c r="B487" s="23" t="str">
        <x:v>帮我筛一下CBN-福州仓山-福州南站火车南站西北美化塔C-HRRH和CBN-深圳天麓八区U-H5H这两个站点下，天线高度不等于20米的小区，返回小区名称、天线高度和纬度。</x:v>
      </x:c>
      <x:c r="C487" s="23" t="str">
        <x:v>查询站点CBN-福州仓山-福州南站火车南站西北美化塔C-HRRH和CBN-深圳天麓八区U-H5H下所有小区的工程参数，包括小区名称、天线高度、纬度</x:v>
      </x:c>
      <x:c r="D487" s="23" t="str">
        <x:v>Recipe - DeepSeek</x:v>
      </x:c>
      <x:c r="E487" s="23" t="str">
        <x:v>DeepSeek recipe调用</x:v>
      </x:c>
      <x:c r="F487" s="21" t="n">
        <x:v>3</x:v>
      </x:c>
      <x:c r="G487" s="21" t="str">
        <x:v>2026-08-12T13:58:21.050</x:v>
      </x:c>
      <x:c r="H487" s="36" t="n">
        <x:v>35.083</x:v>
      </x:c>
      <x:c r="I487" s="36" t="n">
        <x:f>H487/1000</x:f>
        <x:v>0.035082999999999996</x:v>
      </x:c>
      <x:c r="J487" s="21" t="str">
        <x:v>data2/dsv4_2_recipe_ds.jsonl</x:v>
      </x:c>
      <x:c r="K487" s="21" t="n">
        <x:v>131</x:v>
      </x:c>
      <x:c r="L487" s="21" t="str">
        <x:v>时间顺序回退</x:v>
      </x:c>
    </x:row>
    <x:row r="488">
      <x:c r="A488" s="38" t="n">
        <x:v>60</x:v>
      </x:c>
      <x:c r="B488" s="23" t="str">
        <x:v>帮我筛一下CBN-福州仓山-福州南站火车南站西北美化塔C-HRRH和CBN-深圳天麓八区U-H5H这两个站点下，天线高度不等于20米的小区，返回小区名称、天线高度和纬度。</x:v>
      </x:c>
      <x:c r="C488" s="23" t="str">
        <x:v>查询站点CBN-福州仓山-福州南站火车南站西北美化塔C-HRRH和CBN-深圳天麓八区U-H5H下所有小区的工程参数，包括小区名称、天线高度、纬度</x:v>
      </x:c>
      <x:c r="D488" s="23" t="str">
        <x:v>Recipe - Qwen执行</x:v>
      </x:c>
      <x:c r="E488" s="23" t="str">
        <x:v>同一问题第4次Qwen调用</x:v>
      </x:c>
      <x:c r="F488" s="21" t="n">
        <x:v>4</x:v>
      </x:c>
      <x:c r="G488" s="21" t="str">
        <x:v>2026-08-12T13:58:21.116</x:v>
      </x:c>
      <x:c r="H488" s="36" t="n">
        <x:v>39.407</x:v>
      </x:c>
      <x:c r="I488" s="36" t="n">
        <x:f>H488/1000</x:f>
        <x:v>0.039407</x:v>
      </x:c>
      <x:c r="J488" s="21" t="str">
        <x:v>data2/qwen3_2.jsonl</x:v>
      </x:c>
      <x:c r="K488" s="21" t="n">
        <x:v>144</x:v>
      </x:c>
      <x:c r="L488" s="21" t="str">
        <x:v>时间顺序回退</x:v>
      </x:c>
    </x:row>
    <x:row r="489">
      <x:c r="A489" s="38" t="n">
        <x:v>60</x:v>
      </x:c>
      <x:c r="B489" s="23" t="str">
        <x:v>帮我筛一下CBN-福州仓山-福州南站火车南站西北美化塔C-HRRH和CBN-深圳天麓八区U-H5H这两个站点下，天线高度不等于20米的小区，返回小区名称、天线高度和纬度。</x:v>
      </x:c>
      <x:c r="C489" s="23" t="str">
        <x:v>查询站点CBN-福州仓山-福州南站火车南站西北美化塔C-HRRH和CBN-深圳天麓八区U-H5H下所有小区的工程参数，包括小区名称、天线高度、纬度</x:v>
      </x:c>
      <x:c r="D489" s="23" t="str">
        <x:v>Recipe - DeepSeek</x:v>
      </x:c>
      <x:c r="E489" s="23" t="str">
        <x:v>DeepSeek recipe调用</x:v>
      </x:c>
      <x:c r="F489" s="21" t="n">
        <x:v>4</x:v>
      </x:c>
      <x:c r="G489" s="21" t="str">
        <x:v>2026-08-12T15:58:21.347</x:v>
      </x:c>
      <x:c r="H489" s="36" t="n">
        <x:v>38.589</x:v>
      </x:c>
      <x:c r="I489" s="36" t="n">
        <x:f>H489/1000</x:f>
        <x:v>0.038589</x:v>
      </x:c>
      <x:c r="J489" s="21" t="str">
        <x:v>data2/dsv4_2_recipe_ds.jsonl</x:v>
      </x:c>
      <x:c r="K489" s="21" t="n">
        <x:v>132</x:v>
      </x:c>
      <x:c r="L489" s="21" t="str">
        <x:v>时间顺序回退</x:v>
      </x:c>
    </x:row>
    <x:row r="490">
      <x:c r="A490" s="38" t="n">
        <x:v>60</x:v>
      </x:c>
      <x:c r="B490" s="23" t="str">
        <x:v>帮我筛一下CBN-福州仓山-福州南站火车南站西北美化塔C-HRRH和CBN-深圳天麓八区U-H5H这两个站点下，天线高度不等于20米的小区，返回小区名称、天线高度和纬度。</x:v>
      </x:c>
      <x:c r="C490" s="23" t="str">
        <x:v>查询站点CBN-福州仓山-福州南站火车南站西北美化塔C-HRRH和CBN-深圳天麓八区U-H5H下所有小区的工程参数，包括小区名称、天线高度、纬度</x:v>
      </x:c>
      <x:c r="D490" s="23" t="str">
        <x:v>Recipe - Qwen执行</x:v>
      </x:c>
      <x:c r="E490" s="23" t="str">
        <x:v>同一问题第5次Qwen调用</x:v>
      </x:c>
      <x:c r="F490" s="21" t="n">
        <x:v>5</x:v>
      </x:c>
      <x:c r="G490" s="21" t="str">
        <x:v>2026-08-12T15:58:21.414</x:v>
      </x:c>
      <x:c r="H490" s="36" t="n">
        <x:v>40.452</x:v>
      </x:c>
      <x:c r="I490" s="36" t="n">
        <x:f>H490/1000</x:f>
        <x:v>0.040451999999999995</x:v>
      </x:c>
      <x:c r="J490" s="21" t="str">
        <x:v>data2/qwen3_2.jsonl</x:v>
      </x:c>
      <x:c r="K490" s="21" t="n">
        <x:v>145</x:v>
      </x:c>
      <x:c r="L490" s="21" t="str">
        <x:v>时间顺序回退</x:v>
      </x:c>
    </x:row>
    <x:row r="491">
      <x:c r="A491" s="38" t="n">
        <x:v>60</x:v>
      </x:c>
      <x:c r="B491" s="23" t="str">
        <x:v>帮我筛一下CBN-福州仓山-福州南站火车南站西北美化塔C-HRRH和CBN-深圳天麓八区U-H5H这两个站点下，天线高度不等于20米的小区，返回小区名称、天线高度和纬度。</x:v>
      </x:c>
      <x:c r="C491" s="23" t="str">
        <x:v>查询站点CBN-福州仓山-福州南站火车南站西北美化塔C-HRRH和CBN-深圳天麓八区U-H5H下所有小区的工程参数，包括小区名称、天线高度、纬度</x:v>
      </x:c>
      <x:c r="D491" s="23" t="str">
        <x:v>Recipe - Qwen执行</x:v>
      </x:c>
      <x:c r="E491" s="23" t="str">
        <x:v>同一问题第6次Qwen调用</x:v>
      </x:c>
      <x:c r="F491" s="21" t="n">
        <x:v>6</x:v>
      </x:c>
      <x:c r="G491" s="21" t="str">
        <x:v>2026-08-12T17:58:21.645</x:v>
      </x:c>
      <x:c r="H491" s="36" t="n">
        <x:v>39.569</x:v>
      </x:c>
      <x:c r="I491" s="36" t="n">
        <x:f>H491/1000</x:f>
        <x:v>0.039569</x:v>
      </x:c>
      <x:c r="J491" s="21" t="str">
        <x:v>data2/qwen3_2.jsonl</x:v>
      </x:c>
      <x:c r="K491" s="21" t="n">
        <x:v>146</x:v>
      </x:c>
      <x:c r="L491" s="21" t="str">
        <x:v>时间顺序回退</x:v>
      </x:c>
    </x:row>
    <x:row r="492">
      <x:c r="A492" s="38" t="n">
        <x:v>60</x:v>
      </x:c>
      <x:c r="B492" s="23" t="str">
        <x:v>帮我筛一下CBN-福州仓山-福州南站火车南站西北美化塔C-HRRH和CBN-深圳天麓八区U-H5H这两个站点下，天线高度不等于20米的小区，返回小区名称、天线高度和纬度。</x:v>
      </x:c>
      <x:c r="C492" s="23" t="str">
        <x:v>查询站点CBN-福州仓山-福州南站火车南站西北美化塔C-HRRH和CBN-深圳天麓八区U-H5H下所有小区的工程参数，包括小区名称、天线高度、纬度</x:v>
      </x:c>
      <x:c r="D492" s="23" t="str">
        <x:v>Recipe - DeepSeek</x:v>
      </x:c>
      <x:c r="E492" s="23" t="str">
        <x:v>DeepSeek recipe调用</x:v>
      </x:c>
      <x:c r="F492" s="21" t="n">
        <x:v>5</x:v>
      </x:c>
      <x:c r="G492" s="21" t="str">
        <x:v>2026-08-12T17:58:21.718</x:v>
      </x:c>
      <x:c r="H492" s="36" t="n">
        <x:v>38.211</x:v>
      </x:c>
      <x:c r="I492" s="36" t="n">
        <x:f>H492/1000</x:f>
        <x:v>0.038211</x:v>
      </x:c>
      <x:c r="J492" s="21" t="str">
        <x:v>data2/dsv4_2_recipe_ds.jsonl</x:v>
      </x:c>
      <x:c r="K492" s="21" t="n">
        <x:v>133</x:v>
      </x:c>
      <x:c r="L492" s="21" t="str">
        <x:v>时间顺序回退</x:v>
      </x:c>
    </x:row>
    <x:row r="493">
      <x:c r="A493" s="38" t="n">
        <x:v>60</x:v>
      </x:c>
      <x:c r="B493" s="23" t="str">
        <x:v>帮我筛一下CBN-福州仓山-福州南站火车南站西北美化塔C-HRRH和CBN-深圳天麓八区U-H5H这两个站点下，天线高度不等于20米的小区，返回小区名称、天线高度和纬度。</x:v>
      </x:c>
      <x:c r="C493" s="23" t="str">
        <x:v>查询站点CBN-福州仓山-福州南站火车南站西北美化塔C-HRRH和CBN-深圳天麓八区U-H5H下所有小区的工程参数，包括小区名称、天线高度、纬度</x:v>
      </x:c>
      <x:c r="D493" s="23" t="str">
        <x:v>Recipe - DeepSeek</x:v>
      </x:c>
      <x:c r="E493" s="23" t="str">
        <x:v>DeepSeek recipe调用</x:v>
      </x:c>
      <x:c r="F493" s="21" t="n">
        <x:v>6</x:v>
      </x:c>
      <x:c r="G493" s="21" t="str">
        <x:v>2026-08-12T19:58:21.552</x:v>
      </x:c>
      <x:c r="H493" s="36" t="n">
        <x:v>38.381</x:v>
      </x:c>
      <x:c r="I493" s="36" t="n">
        <x:f>H493/1000</x:f>
        <x:v>0.038381</x:v>
      </x:c>
      <x:c r="J493" s="21" t="str">
        <x:v>data2/dsv4_2_recipe_ds.jsonl</x:v>
      </x:c>
      <x:c r="K493" s="21" t="n">
        <x:v>134</x:v>
      </x:c>
      <x:c r="L493" s="21" t="str">
        <x:v>时间顺序回退</x:v>
      </x:c>
    </x:row>
    <x:row r="494">
      <x:c r="A494" s="38" t="n">
        <x:v>60</x:v>
      </x:c>
      <x:c r="B494" s="23" t="str">
        <x:v>帮我筛一下CBN-福州仓山-福州南站火车南站西北美化塔C-HRRH和CBN-深圳天麓八区U-H5H这两个站点下，天线高度不等于20米的小区，返回小区名称、天线高度和纬度。</x:v>
      </x:c>
      <x:c r="C494" s="23" t="str">
        <x:v>查询站点CBN-福州仓山-福州南站火车南站西北美化塔C-HRRH和CBN-深圳天麓八区U-H5H下所有小区的工程参数，包括小区名称、天线高度、纬度</x:v>
      </x:c>
      <x:c r="D494" s="23" t="str">
        <x:v>Recipe - Qwen执行</x:v>
      </x:c>
      <x:c r="E494" s="23" t="str">
        <x:v>同一问题第7次Qwen调用</x:v>
      </x:c>
      <x:c r="F494" s="21" t="n">
        <x:v>7</x:v>
      </x:c>
      <x:c r="G494" s="21" t="str">
        <x:v>2026-08-12T19:58:21.670</x:v>
      </x:c>
      <x:c r="H494" s="36" t="n">
        <x:v>42.03</x:v>
      </x:c>
      <x:c r="I494" s="36" t="n">
        <x:f>H494/1000</x:f>
        <x:v>0.04203</x:v>
      </x:c>
      <x:c r="J494" s="21" t="str">
        <x:v>data2/qwen3_2.jsonl</x:v>
      </x:c>
      <x:c r="K494" s="21" t="n">
        <x:v>147</x:v>
      </x:c>
      <x:c r="L494" s="21" t="str">
        <x:v>时间顺序回退</x:v>
      </x:c>
    </x:row>
    <x:row r="495">
      <x:c r="A495" s="38" t="n">
        <x:v>60</x:v>
      </x:c>
      <x:c r="B495" s="23" t="str">
        <x:v>帮我筛一下CBN-福州仓山-福州南站火车南站西北美化塔C-HRRH和CBN-深圳天麓八区U-H5H这两个站点下，天线高度不等于20米的小区，返回小区名称、天线高度和纬度。</x:v>
      </x:c>
      <x:c r="C495" s="23" t="str">
        <x:v>查询站点CBN-福州仓山-福州南站火车南站西北美化塔C-HRRH和CBN-深圳天麓八区U-H5H下所有小区的工程参数，包括小区名称、天线高度、纬度</x:v>
      </x:c>
      <x:c r="D495" s="23" t="str">
        <x:v>Recipe - Qwen执行</x:v>
      </x:c>
      <x:c r="E495" s="23" t="str">
        <x:v>同一问题第8次Qwen调用</x:v>
      </x:c>
      <x:c r="F495" s="21" t="n">
        <x:v>8</x:v>
      </x:c>
      <x:c r="G495" s="21" t="str">
        <x:v>2026-08-12T21:58:22.251</x:v>
      </x:c>
      <x:c r="H495" s="36" t="n">
        <x:v>40.154</x:v>
      </x:c>
      <x:c r="I495" s="36" t="n">
        <x:f>H495/1000</x:f>
        <x:v>0.040154</x:v>
      </x:c>
      <x:c r="J495" s="21" t="str">
        <x:v>data2/qwen3_2.jsonl</x:v>
      </x:c>
      <x:c r="K495" s="21" t="n">
        <x:v>148</x:v>
      </x:c>
      <x:c r="L495" s="21" t="str">
        <x:v>时间顺序回退</x:v>
      </x:c>
    </x:row>
    <x:row r="496">
      <x:c r="A496" s="38" t="n">
        <x:v>60</x:v>
      </x:c>
      <x:c r="B496" s="23" t="str">
        <x:v>帮我筛一下CBN-福州仓山-福州南站火车南站西北美化塔C-HRRH和CBN-深圳天麓八区U-H5H这两个站点下，天线高度不等于20米的小区，返回小区名称、天线高度和纬度。</x:v>
      </x:c>
      <x:c r="C496" s="23" t="str">
        <x:v>查询站点CBN-福州仓山-福州南站火车南站西北美化塔C-HRRH和CBN-深圳天麓八区U-H5H下所有小区的工程参数，包括小区名称、天线高度、纬度</x:v>
      </x:c>
      <x:c r="D496" s="23" t="str">
        <x:v>Recipe - DeepSeek</x:v>
      </x:c>
      <x:c r="E496" s="23" t="str">
        <x:v>DeepSeek recipe调用</x:v>
      </x:c>
      <x:c r="F496" s="21" t="n">
        <x:v>7</x:v>
      </x:c>
      <x:c r="G496" s="21" t="str">
        <x:v>2026-08-12T21:58:22.322</x:v>
      </x:c>
      <x:c r="H496" s="36" t="n">
        <x:v>37.047</x:v>
      </x:c>
      <x:c r="I496" s="36" t="n">
        <x:f>H496/1000</x:f>
        <x:v>0.037047</x:v>
      </x:c>
      <x:c r="J496" s="21" t="str">
        <x:v>data2/dsv4_2_recipe_ds.jsonl</x:v>
      </x:c>
      <x:c r="K496" s="21" t="n">
        <x:v>135</x:v>
      </x:c>
      <x:c r="L496" s="21" t="str">
        <x:v>时间顺序回退</x:v>
      </x:c>
    </x:row>
    <x:row r="497">
      <x:c r="A497" s="38" t="n">
        <x:v>60</x:v>
      </x:c>
      <x:c r="B497" s="23" t="str">
        <x:v>帮我筛一下CBN-福州仓山-福州南站火车南站西北美化塔C-HRRH和CBN-深圳天麓八区U-H5H这两个站点下，天线高度不等于20米的小区，返回小区名称、天线高度和纬度。</x:v>
      </x:c>
      <x:c r="C497" s="23" t="str">
        <x:v>查询站点CBN-福州仓山-福州南站火车南站西北美化塔C-HRRH和CBN-深圳天麓八区U-H5H下所有小区的工程参数，包括小区名称、天线高度、纬度</x:v>
      </x:c>
      <x:c r="D497" s="23" t="str">
        <x:v>Recipe - Qwen总结</x:v>
      </x:c>
      <x:c r="E497" s="23" t="str">
        <x:v>同一问题最后一次Qwen调用</x:v>
      </x:c>
      <x:c r="F497" s="21" t="n">
        <x:v>1</x:v>
      </x:c>
      <x:c r="G497" s="21" t="str">
        <x:v>2026-08-12T23:58:22.556</x:v>
      </x:c>
      <x:c r="H497" s="36" t="n">
        <x:v>42.89</x:v>
      </x:c>
      <x:c r="I497" s="36" t="n">
        <x:f>H497/1000</x:f>
        <x:v>0.04289</x:v>
      </x:c>
      <x:c r="J497" s="21" t="str">
        <x:v>data2/qwen3_2.jsonl</x:v>
      </x:c>
      <x:c r="K497" s="21" t="n">
        <x:v>149</x:v>
      </x:c>
      <x:c r="L497" s="21" t="str">
        <x:v>时间顺序回退</x:v>
      </x:c>
    </x:row>
    <x:row r="498">
      <x:c r="A498" s="39" t="n">
        <x:v>60</x:v>
      </x:c>
      <x:c r="B498" s="24" t="str">
        <x:v>帮我筛一下CBN-福州仓山-福州南站火车南站西北美化塔C-HRRH和CBN-深圳天麓八区U-H5H这两个站点下，天线高度不等于20米的小区，返回小区名称、天线高度和纬度。</x:v>
      </x:c>
      <x:c r="C498" s="24" t="str">
        <x:v>查询站点CBN-福州仓山-福州南站火车南站西北美化塔C-HRRH和CBN-深圳天麓八区U-H5H下所有小区的工程参数，包括小区名称、天线高度、纬度</x:v>
      </x:c>
      <x:c r="D498" s="24" t="str">
        <x:v>Recipe - DeepSeek</x:v>
      </x:c>
      <x:c r="E498" s="24" t="str">
        <x:v>DeepSeek recipe调用</x:v>
      </x:c>
      <x:c r="F498" s="22" t="n">
        <x:v>8</x:v>
      </x:c>
      <x:c r="G498" s="22" t="str">
        <x:v>2026-08-12T23:58:22.632</x:v>
      </x:c>
      <x:c r="H498" s="37" t="n">
        <x:v>38.106</x:v>
      </x:c>
      <x:c r="I498" s="37" t="n">
        <x:f>H498/1000</x:f>
        <x:v>0.038106</x:v>
      </x:c>
      <x:c r="J498" s="22" t="str">
        <x:v>data2/dsv4_2_recipe_ds.jsonl</x:v>
      </x:c>
      <x:c r="K498" s="22" t="n">
        <x:v>136</x:v>
      </x:c>
      <x:c r="L498" s="22" t="str">
        <x:v>时间顺序回退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42" t="str">
        <x:v>AICO Agent 模型调用时延汇总（data2）</x:v>
      </x:c>
      <x:c r="B1" s="42"/>
      <x:c r="C1" s="42"/>
      <x:c r="D1" s="42"/>
      <x:c r="E1" s="42"/>
      <x:c r="F1" s="42"/>
    </x:row>
    <x:row r="3">
      <x:c r="A3" s="34" t="str">
        <x:v>阶段</x:v>
      </x:c>
      <x:c r="B3" s="34" t="str">
        <x:v>调用次数</x:v>
      </x:c>
      <x:c r="C3" s="34" t="str">
        <x:v>总时延(ms)</x:v>
      </x:c>
      <x:c r="D3" s="34" t="str">
        <x:v>平均单次时延(ms)</x:v>
      </x:c>
      <x:c r="E3" s="34" t="str">
        <x:v>平均单次时延(s)</x:v>
      </x:c>
      <x:c r="F3" s="34" t="str">
        <x:v>平均每题累计时延(ms)</x:v>
      </x:c>
    </x:row>
    <x:row r="4">
      <x:c r="A4" s="46" t="str">
        <x:v>AICO Tool Call - Skill</x:v>
      </x:c>
      <x:c r="B4" s="49" t="n">
        <x:f>COUNTIF('调用明细'!$D$2:$D$498,A4)</x:f>
        <x:v>60</x:v>
      </x:c>
      <x:c r="C4" s="49" t="n">
        <x:f>SUMIF('调用明细'!$D$2:$D$498,A4,'调用明细'!$H$2:$H$498)</x:f>
        <x:v>410353.82200000004</x:v>
      </x:c>
      <x:c r="D4" s="49" t="n">
        <x:f>IFERROR(C4/B4,0)</x:f>
        <x:v>6839.230366666668</x:v>
      </x:c>
      <x:c r="E4" s="49" t="n">
        <x:f>D4/1000</x:f>
        <x:v>6.839230366666667</x:v>
      </x:c>
      <x:c r="F4" s="49" t="n">
        <x:f>C4/60</x:f>
        <x:v>6839.230366666668</x:v>
      </x:c>
    </x:row>
    <x:row r="5">
      <x:c r="A5" s="46" t="str">
        <x:v>AICO Tool Call - Workflow</x:v>
      </x:c>
      <x:c r="B5" s="49" t="n">
        <x:f>COUNTIF('调用明细'!$D$2:$D$498,A5)</x:f>
        <x:v>65</x:v>
      </x:c>
      <x:c r="C5" s="49" t="n">
        <x:f>SUMIF('调用明细'!$D$2:$D$498,A5,'调用明细'!$H$2:$H$498)</x:f>
        <x:v>390703.98500000004</x:v>
      </x:c>
      <x:c r="D5" s="49" t="n">
        <x:f>IFERROR(C5/B5,0)</x:f>
        <x:v>6010.830538461539</x:v>
      </x:c>
      <x:c r="E5" s="49" t="n">
        <x:f>D5/1000</x:f>
        <x:v>6.010830538461539</x:v>
      </x:c>
      <x:c r="F5" s="49" t="n">
        <x:f>C5/60</x:f>
        <x:v>6511.733083333334</x:v>
      </x:c>
    </x:row>
    <x:row r="6">
      <x:c r="A6" s="46" t="str">
        <x:v>Recipe - DeepSeek</x:v>
      </x:c>
      <x:c r="B6" s="49" t="n">
        <x:f>COUNTIF('调用明细'!$D$2:$D$498,A6)</x:f>
        <x:v>72</x:v>
      </x:c>
      <x:c r="C6" s="49" t="n">
        <x:f>SUMIF('调用明细'!$D$2:$D$498,A6,'调用明细'!$H$2:$H$498)</x:f>
        <x:v>241927.029</x:v>
      </x:c>
      <x:c r="D6" s="49" t="n">
        <x:f>IFERROR(C6/B6,0)</x:f>
        <x:v>3360.0976250000003</x:v>
      </x:c>
      <x:c r="E6" s="49" t="n">
        <x:f>D6/1000</x:f>
        <x:v>3.3600976250000003</x:v>
      </x:c>
      <x:c r="F6" s="49" t="n">
        <x:f>C6/60</x:f>
        <x:v>4032.11715</x:v>
      </x:c>
    </x:row>
    <x:row r="7">
      <x:c r="A7" s="46" t="str">
        <x:v>Recipe - Qwen执行</x:v>
      </x:c>
      <x:c r="B7" s="49" t="n">
        <x:f>COUNTIF('调用明细'!$D$2:$D$498,A7)</x:f>
        <x:v>87</x:v>
      </x:c>
      <x:c r="C7" s="49" t="n">
        <x:f>SUMIF('调用明细'!$D$2:$D$498,A7,'调用明细'!$H$2:$H$498)</x:f>
        <x:v>120936.265</x:v>
      </x:c>
      <x:c r="D7" s="49" t="n">
        <x:f>IFERROR(C7/B7,0)</x:f>
        <x:v>1390.0720114942528</x:v>
      </x:c>
      <x:c r="E7" s="49" t="n">
        <x:f>D7/1000</x:f>
        <x:v>1.3900720114942529</x:v>
      </x:c>
      <x:c r="F7" s="49" t="n">
        <x:f>C7/60</x:f>
        <x:v>2015.6044166666666</x:v>
      </x:c>
    </x:row>
    <x:row r="8">
      <x:c r="A8" s="46" t="str">
        <x:v>Recipe - Qwen总结</x:v>
      </x:c>
      <x:c r="B8" s="49" t="n">
        <x:f>COUNTIF('调用明细'!$D$2:$D$498,A8)</x:f>
        <x:v>60</x:v>
      </x:c>
      <x:c r="C8" s="49" t="n">
        <x:f>SUMIF('调用明细'!$D$2:$D$498,A8,'调用明细'!$H$2:$H$498)</x:f>
        <x:v>124955.061</x:v>
      </x:c>
      <x:c r="D8" s="49" t="n">
        <x:f>IFERROR(C8/B8,0)</x:f>
        <x:v>2082.58435</x:v>
      </x:c>
      <x:c r="E8" s="49" t="n">
        <x:f>D8/1000</x:f>
        <x:v>2.0825843500000003</x:v>
      </x:c>
      <x:c r="F8" s="49" t="n">
        <x:f>C8/60</x:f>
        <x:v>2082.58435</x:v>
      </x:c>
    </x:row>
    <x:row r="9">
      <x:c r="A9" s="46" t="str">
        <x:v>AICO总结</x:v>
      </x:c>
      <x:c r="B9" s="49" t="n">
        <x:f>COUNTIF('调用明细'!$D$2:$D$498,A9)</x:f>
        <x:v>60</x:v>
      </x:c>
      <x:c r="C9" s="49" t="n">
        <x:f>SUMIF('调用明细'!$D$2:$D$498,A9,'调用明细'!$H$2:$H$498)</x:f>
        <x:v>436130.0019999999</x:v>
      </x:c>
      <x:c r="D9" s="49" t="n">
        <x:f>IFERROR(C9/B9,0)</x:f>
        <x:v>7268.833366666665</x:v>
      </x:c>
      <x:c r="E9" s="49" t="n">
        <x:f>D9/1000</x:f>
        <x:v>7.268833366666665</x:v>
      </x:c>
      <x:c r="F9" s="49" t="n">
        <x:f>C9/60</x:f>
        <x:v>7268.833366666665</x:v>
      </x:c>
    </x:row>
    <x:row r="10">
      <x:c r="A10" s="46" t="str">
        <x:v>问题推荐</x:v>
      </x:c>
      <x:c r="B10" s="49" t="n">
        <x:f>COUNTIF('调用明细'!$D$2:$D$498,A10)</x:f>
        <x:v>60</x:v>
      </x:c>
      <x:c r="C10" s="49" t="n">
        <x:f>SUMIF('调用明细'!$D$2:$D$498,A10,'调用明细'!$H$2:$H$498)</x:f>
        <x:v>382717.14900000003</x:v>
      </x:c>
      <x:c r="D10" s="49" t="n">
        <x:f>IFERROR(C10/B10,0)</x:f>
        <x:v>6378.61915</x:v>
      </x:c>
      <x:c r="E10" s="49" t="n">
        <x:f>D10/1000</x:f>
        <x:v>6.3786191500000005</x:v>
      </x:c>
      <x:c r="F10" s="49" t="n">
        <x:f>C10/60</x:f>
        <x:v>6378.61915</x:v>
      </x:c>
    </x:row>
    <x:row r="11">
      <x:c r="A11" s="46" t="str">
        <x:v>AICO其他工具</x:v>
      </x:c>
      <x:c r="B11" s="49" t="n">
        <x:f>COUNTIF('调用明细'!$D$2:$D$498,A11)</x:f>
        <x:v>9</x:v>
      </x:c>
      <x:c r="C11" s="49" t="n">
        <x:f>SUMIF('调用明细'!$D$2:$D$498,A11,'调用明细'!$H$2:$H$498)</x:f>
        <x:v>49547.212999999996</x:v>
      </x:c>
      <x:c r="D11" s="49" t="n">
        <x:f>IFERROR(C11/B11,0)</x:f>
        <x:v>5505.245888888889</x:v>
      </x:c>
      <x:c r="E11" s="49" t="n">
        <x:f>D11/1000</x:f>
        <x:v>5.505245888888888</x:v>
      </x:c>
      <x:c r="F11" s="49" t="n">
        <x:f>C11/60</x:f>
        <x:v>825.7868833333333</x:v>
      </x:c>
    </x:row>
    <x:row r="12">
      <x:c r="A12" s="46" t="str">
        <x:v>AICO错误/失败</x:v>
      </x:c>
      <x:c r="B12" s="49" t="n">
        <x:f>COUNTIF('调用明细'!$D$2:$D$498,A12)</x:f>
        <x:v>18</x:v>
      </x:c>
      <x:c r="C12" s="49" t="n">
        <x:f>SUMIF('调用明细'!$D$2:$D$498,A12,'调用明细'!$H$2:$H$498)</x:f>
        <x:v>1215.7340000000004</x:v>
      </x:c>
      <x:c r="D12" s="49" t="n">
        <x:f>IFERROR(C12/B12,0)</x:f>
        <x:v>67.5407777777778</x:v>
      </x:c>
      <x:c r="E12" s="49" t="n">
        <x:f>D12/1000</x:f>
        <x:v>0.06754077777777781</x:v>
      </x:c>
      <x:c r="F12" s="49" t="n">
        <x:f>C12/60</x:f>
        <x:v>20.262233333333338</x:v>
      </x:c>
    </x:row>
    <x:row r="13">
      <x:c r="A13" s="46" t="str">
        <x:v>未匹配/探活调用</x:v>
      </x:c>
      <x:c r="B13" s="49" t="n">
        <x:f>COUNTIF('调用明细'!$D$2:$D$498,A13)</x:f>
        <x:v>6</x:v>
      </x:c>
      <x:c r="C13" s="49" t="n">
        <x:f>SUMIF('调用明细'!$D$2:$D$498,A13,'调用明细'!$H$2:$H$498)</x:f>
        <x:v>216.639</x:v>
      </x:c>
      <x:c r="D13" s="49" t="n">
        <x:f>IFERROR(C13/B13,0)</x:f>
        <x:v>36.106500000000004</x:v>
      </x:c>
      <x:c r="E13" s="49" t="n">
        <x:f>D13/1000</x:f>
        <x:v>0.03610650000000001</x:v>
      </x:c>
      <x:c r="F13" s="49" t="n">
        <x:f>C13/60</x:f>
        <x:v>3.61065</x:v>
      </x:c>
    </x:row>
    <x:row r="14">
      <x:c r="A14" s="46" t="str">
        <x:v>Recipe合计</x:v>
      </x:c>
      <x:c r="B14" s="49" t="n">
        <x:f>SUM(B6:B8)</x:f>
        <x:v>219</x:v>
      </x:c>
      <x:c r="C14" s="49" t="n">
        <x:f>SUM(C6:C8)</x:f>
        <x:v>487818.355</x:v>
      </x:c>
      <x:c r="D14" s="49" t="n">
        <x:f>IFERROR(C14/B14,0)</x:f>
        <x:v>2227.481073059361</x:v>
      </x:c>
      <x:c r="E14" s="49" t="n">
        <x:f>D14/1000</x:f>
        <x:v>2.227481073059361</x:v>
      </x:c>
      <x:c r="F14" s="49" t="n">
        <x:f>C14/60</x:f>
        <x:v>8130.305916666666</x:v>
      </x:c>
    </x:row>
    <x:row r="15">
      <x:c r="A15" s="47" t="str">
        <x:v>全部模型调用</x:v>
      </x:c>
      <x:c r="B15" s="50" t="n">
        <x:f>COUNT('调用明细'!$H$2:$H$498)</x:f>
        <x:v>497</x:v>
      </x:c>
      <x:c r="C15" s="50" t="n">
        <x:f>SUM('调用明细'!$H$2:$H$498)</x:f>
        <x:v>2158702.899</x:v>
      </x:c>
      <x:c r="D15" s="50" t="n">
        <x:f>IFERROR(C15/B15,0)</x:f>
        <x:v>4343.466597585513</x:v>
      </x:c>
      <x:c r="E15" s="50" t="n">
        <x:f>D15/1000</x:f>
        <x:v>4.343466597585513</x:v>
      </x:c>
      <x:c r="F15" s="50" t="n">
        <x:f>C15/60</x:f>
        <x:v>35978.38165</x:v>
      </x:c>
    </x:row>
    <x:row r="17">
      <x:c r="A17" s="45" t="str">
        <x:v>数据质量检查</x:v>
      </x:c>
      <x:c r="B17" s="45" t="str">
        <x:v>数量</x:v>
      </x:c>
      <x:c r="C17" s="45" t="str">
        <x:v>说明</x:v>
      </x:c>
    </x:row>
    <x:row r="18">
      <x:c r="A18" s="46" t="str">
        <x:v>Excel问题数</x:v>
      </x:c>
      <x:c r="B18" s="51" t="n">
        <x:v>60</x:v>
      </x:c>
      <x:c r="C18" s="53" t="str">
        <x:v>原表C列问题</x:v>
      </x:c>
    </x:row>
    <x:row r="19">
      <x:c r="A19" s="46" t="str">
        <x:v>已提取转换问题</x:v>
      </x:c>
      <x:c r="B19" s="51" t="n">
        <x:v>60</x:v>
      </x:c>
      <x:c r="C19" s="53" t="str">
        <x:v>来自AICO Workflow/Skill参数</x:v>
      </x:c>
    </x:row>
    <x:row r="20">
      <x:c r="A20" s="46" t="str">
        <x:v>AICO日志行数</x:v>
      </x:c>
      <x:c r="B20" s="51" t="n">
        <x:v>212</x:v>
      </x:c>
      <x:c r="C20" s="53" t="str">
        <x:v>data2/dsv4_2_aico.jsonl</x:v>
      </x:c>
    </x:row>
    <x:row r="21">
      <x:c r="A21" s="46" t="str">
        <x:v>Recipe DS日志行数</x:v>
      </x:c>
      <x:c r="B21" s="51" t="n">
        <x:v>136</x:v>
      </x:c>
      <x:c r="C21" s="53" t="str">
        <x:v>含DeepSeek与问题推荐</x:v>
      </x:c>
    </x:row>
    <x:row r="22">
      <x:c r="A22" s="46" t="str">
        <x:v>Qwen日志行数</x:v>
      </x:c>
      <x:c r="B22" s="51" t="n">
        <x:v>149</x:v>
      </x:c>
      <x:c r="C22" s="53" t="str">
        <x:v>最后一次标记为Qwen总结</x:v>
      </x:c>
    </x:row>
    <x:row r="23">
      <x:c r="A23" s="46" t="str">
        <x:v>未匹配/探活调用数</x:v>
      </x:c>
      <x:c r="B23" s="51" t="n">
        <x:v>6</x:v>
      </x:c>
      <x:c r="C23" s="53" t="str">
        <x:v>未计入60题标准阶段，详见调用明细</x:v>
      </x:c>
    </x:row>
    <x:row r="24">
      <x:c r="A24" s="46" t="str">
        <x:v>流程完整问题数</x:v>
      </x:c>
      <x:c r="B24" s="51" t="n">
        <x:v>60</x:v>
      </x:c>
      <x:c r="C24" s="53" t="str">
        <x:v>具备6个标准阶段</x:v>
      </x:c>
    </x:row>
    <x:row r="25">
      <x:c r="A25" s="48" t="str">
        <x:v>发现的其他AICO工具</x:v>
      </x:c>
      <x:c r="B25" s="52" t="n">
        <x:v>2</x:v>
      </x:c>
      <x:c r="C25" s="54" t="str">
        <x:v>详见调用明细</x:v>
      </x:c>
    </x:row>
  </x:sheetData>
  <x:mergeCells>
    <x:mergeCell ref="A1:F1"/>
  </x:mergeCells>
  <x:pageMargins left="0.7" right="0.7" top="0.75" bottom="0.75" header="0.3" footer="0.3"/>
</x:worksheet>
</file>