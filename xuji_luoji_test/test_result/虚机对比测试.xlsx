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927893\Desktop\"/>
    </mc:Choice>
  </mc:AlternateContent>
  <xr:revisionPtr revIDLastSave="0" documentId="13_ncr:1_{7F0D6657-7481-4D79-8CCE-AFC199B69A6D}" xr6:coauthVersionLast="47" xr6:coauthVersionMax="47" xr10:uidLastSave="{00000000-0000-0000-0000-000000000000}"/>
  <bookViews>
    <workbookView xWindow="-120" yWindow="-120" windowWidth="38640" windowHeight="21120" activeTab="1" xr2:uid="{62B16AB9-E773-417F-8BA7-8F7EF499EDA3}"/>
  </bookViews>
  <sheets>
    <sheet name="026" sheetId="1" r:id="rId1"/>
    <sheet name="030" sheetId="2" r:id="rId2"/>
    <sheet name="实机端到端测试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3" i="2" l="1"/>
  <c r="D60" i="2"/>
  <c r="D57" i="2"/>
</calcChain>
</file>

<file path=xl/sharedStrings.xml><?xml version="1.0" encoding="utf-8"?>
<sst xmlns="http://schemas.openxmlformats.org/spreadsheetml/2006/main" count="170" uniqueCount="55">
  <si>
    <t>裸机</t>
    <phoneticPr fontId="2" type="noConversion"/>
  </si>
  <si>
    <t>ds_dspark</t>
    <phoneticPr fontId="2" type="noConversion"/>
  </si>
  <si>
    <t>首字 ms</t>
    <phoneticPr fontId="2" type="noConversion"/>
  </si>
  <si>
    <t>增量ms</t>
    <phoneticPr fontId="2" type="noConversion"/>
  </si>
  <si>
    <t>e2e ms</t>
    <phoneticPr fontId="2" type="noConversion"/>
  </si>
  <si>
    <t>prefill token</t>
    <phoneticPr fontId="2" type="noConversion"/>
  </si>
  <si>
    <t xml:space="preserve">decode token </t>
    <phoneticPr fontId="2" type="noConversion"/>
  </si>
  <si>
    <t>投机平均接收步长</t>
    <phoneticPr fontId="2" type="noConversion"/>
  </si>
  <si>
    <t>平均接受率</t>
    <phoneticPr fontId="2" type="noConversion"/>
  </si>
  <si>
    <t>qwen_mtp</t>
    <phoneticPr fontId="2" type="noConversion"/>
  </si>
  <si>
    <t>1、va版本：0.26rc1 2、均使用8并发进行测试</t>
    <phoneticPr fontId="2" type="noConversion"/>
  </si>
  <si>
    <t>虚机</t>
    <phoneticPr fontId="2" type="noConversion"/>
  </si>
  <si>
    <t>ds+dspark_lora</t>
    <phoneticPr fontId="2" type="noConversion"/>
  </si>
  <si>
    <t>ds</t>
    <phoneticPr fontId="2" type="noConversion"/>
  </si>
  <si>
    <t>1、va版本为0.30rc1 2、使用8并发进行测试</t>
    <phoneticPr fontId="2" type="noConversion"/>
  </si>
  <si>
    <t>首字/ms</t>
    <phoneticPr fontId="2" type="noConversion"/>
  </si>
  <si>
    <t>增量/ms</t>
    <phoneticPr fontId="2" type="noConversion"/>
  </si>
  <si>
    <t>e2e/ms</t>
    <phoneticPr fontId="2" type="noConversion"/>
  </si>
  <si>
    <t>prefill/token</t>
    <phoneticPr fontId="2" type="noConversion"/>
  </si>
  <si>
    <t xml:space="preserve">decode/token </t>
    <phoneticPr fontId="2" type="noConversion"/>
  </si>
  <si>
    <t>ds+dspark(dspark未入图)</t>
    <phoneticPr fontId="2" type="noConversion"/>
  </si>
  <si>
    <t>ds+dspark_lora(dspark未入图)</t>
    <phoneticPr fontId="2" type="noConversion"/>
  </si>
  <si>
    <t>ds+dspark入图_modelrunnerV2</t>
    <phoneticPr fontId="2" type="noConversion"/>
  </si>
  <si>
    <t>其他配置</t>
    <phoneticPr fontId="2" type="noConversion"/>
  </si>
  <si>
    <t>batched-tokens 8192</t>
    <phoneticPr fontId="2" type="noConversion"/>
  </si>
  <si>
    <t>ds+dspark入图_lora_modelrunnerV2</t>
    <phoneticPr fontId="2" type="noConversion"/>
  </si>
  <si>
    <t>qwen+mtp_4step</t>
    <phoneticPr fontId="2" type="noConversion"/>
  </si>
  <si>
    <t>qwen+mtp_4step_lora</t>
    <phoneticPr fontId="2" type="noConversion"/>
  </si>
  <si>
    <t>qwen</t>
    <phoneticPr fontId="2" type="noConversion"/>
  </si>
  <si>
    <t>qwen+mtp_4step_modelrunnerV2</t>
    <phoneticPr fontId="2" type="noConversion"/>
  </si>
  <si>
    <t>qwen+mtp_4step_lora_modelrunnerV2</t>
    <phoneticPr fontId="2" type="noConversion"/>
  </si>
  <si>
    <r>
      <t>qwen+mtp_4step_</t>
    </r>
    <r>
      <rPr>
        <sz val="11"/>
        <color rgb="FFFF0000"/>
        <rFont val="等线"/>
        <family val="3"/>
        <charset val="134"/>
        <scheme val="minor"/>
      </rPr>
      <t>VA0.26rc1</t>
    </r>
    <phoneticPr fontId="2" type="noConversion"/>
  </si>
  <si>
    <t>skill</t>
    <phoneticPr fontId="2" type="noConversion"/>
  </si>
  <si>
    <t>workflow</t>
    <phoneticPr fontId="2" type="noConversion"/>
  </si>
  <si>
    <t>协商</t>
    <phoneticPr fontId="2" type="noConversion"/>
  </si>
  <si>
    <t>call1</t>
    <phoneticPr fontId="2" type="noConversion"/>
  </si>
  <si>
    <t>call2</t>
    <phoneticPr fontId="2" type="noConversion"/>
  </si>
  <si>
    <t>回答</t>
    <phoneticPr fontId="2" type="noConversion"/>
  </si>
  <si>
    <t>qwen+mtp_4step_modelrunnerV2_va030_modify版本</t>
    <phoneticPr fontId="2" type="noConversion"/>
  </si>
  <si>
    <t>qwen+mtp_4step_lora_modelrunnerV2_va030_modify版本</t>
    <phoneticPr fontId="2" type="noConversion"/>
  </si>
  <si>
    <t>备注</t>
    <phoneticPr fontId="2" type="noConversion"/>
  </si>
  <si>
    <t>skill路由阶段的时延太长，感觉有点问题</t>
    <phoneticPr fontId="2" type="noConversion"/>
  </si>
  <si>
    <t>测试项</t>
    <phoneticPr fontId="2" type="noConversion"/>
  </si>
  <si>
    <t>虚机部署</t>
    <phoneticPr fontId="2" type="noConversion"/>
  </si>
  <si>
    <t>端到端时延</t>
    <phoneticPr fontId="2" type="noConversion"/>
  </si>
  <si>
    <t>92s</t>
    <phoneticPr fontId="2" type="noConversion"/>
  </si>
  <si>
    <t>裸机部署（仅DS）</t>
    <phoneticPr fontId="2" type="noConversion"/>
  </si>
  <si>
    <t>在va030版本中，默认设置为 `thinking_enabled = True`；为了保证没有reasoning，在va的启动参数中加上--default-chat-template-kwargs '{"thinking": false, "enable_thinking": false}'，降低输出的平均token长度                                                          下面是重新测试的结果：</t>
    <phoneticPr fontId="2" type="noConversion"/>
  </si>
  <si>
    <t>1、端到端的数据集使用的是《福州深圳数据_60道工参题目.xlsx》 ds的模型的调用时长过长，原因是输出了resoning                                                                                                                                               2、测试条件：910b4-1 ，8并发测试</t>
    <phoneticPr fontId="2" type="noConversion"/>
  </si>
  <si>
    <t>虚机（重新配置NUMA组）</t>
    <phoneticPr fontId="2" type="noConversion"/>
  </si>
  <si>
    <t>虚机（重新配置NUMA组，并通过patch增加npu的绑定关系）</t>
    <phoneticPr fontId="2" type="noConversion"/>
  </si>
  <si>
    <t>虚机（重新配置NUMA组，并通过patch增加npu的绑定关系，手动进行NUMA组件迁移）</t>
    <phoneticPr fontId="2" type="noConversion"/>
  </si>
  <si>
    <t>vm_exit问题：通过idle=poll配置规避</t>
    <phoneticPr fontId="2" type="noConversion"/>
  </si>
  <si>
    <t>add:虚机大页内存1g配置</t>
    <phoneticPr fontId="2" type="noConversion"/>
  </si>
  <si>
    <t>add:再加上核隔离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</si>
</sst>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10" fontId="0" fillId="5" borderId="1" xfId="0" applyNumberForma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10" fontId="0" fillId="6" borderId="1" xfId="0" applyNumberFormat="1" applyFill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5" xfId="0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6" xfId="0" applyBorder="1">
      <alignment vertical="center"/>
    </xf>
    <xf numFmtId="0" fontId="4" fillId="4" borderId="7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</cellXfs>
  <cellStyles count="2">
    <cellStyle name="差" xfId="1" builtinId="27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6EE03-3BFD-49E8-972E-51C7F0413B6F}">
  <dimension ref="A1:H7"/>
  <sheetViews>
    <sheetView zoomScale="175" zoomScaleNormal="175" workbookViewId="0">
      <selection sqref="A1:H2"/>
    </sheetView>
  </sheetViews>
  <sheetFormatPr defaultRowHeight="14.25" x14ac:dyDescent="0.2"/>
  <cols>
    <col min="1" max="1" width="10" customWidth="1"/>
    <col min="2" max="2" width="12.625" customWidth="1"/>
    <col min="3" max="3" width="18.5" customWidth="1"/>
    <col min="4" max="4" width="14.625" customWidth="1"/>
    <col min="5" max="5" width="12.5" customWidth="1"/>
    <col min="6" max="6" width="13.75" bestFit="1" customWidth="1"/>
    <col min="7" max="7" width="15.125" bestFit="1" customWidth="1"/>
    <col min="8" max="8" width="11" bestFit="1" customWidth="1"/>
  </cols>
  <sheetData>
    <row r="1" spans="1:8" x14ac:dyDescent="0.2">
      <c r="A1" s="17" t="s">
        <v>10</v>
      </c>
      <c r="B1" s="17"/>
      <c r="C1" s="17"/>
      <c r="D1" s="17"/>
      <c r="E1" s="17"/>
      <c r="F1" s="17"/>
      <c r="G1" s="17"/>
      <c r="H1" s="17"/>
    </row>
    <row r="2" spans="1:8" ht="54" customHeight="1" x14ac:dyDescent="0.2">
      <c r="A2" s="17"/>
      <c r="B2" s="17"/>
      <c r="C2" s="17"/>
      <c r="D2" s="17"/>
      <c r="E2" s="17"/>
      <c r="F2" s="17"/>
      <c r="G2" s="17"/>
      <c r="H2" s="17"/>
    </row>
    <row r="5" spans="1:8" x14ac:dyDescent="0.2">
      <c r="A5" t="s">
        <v>0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</row>
    <row r="6" spans="1:8" x14ac:dyDescent="0.2">
      <c r="A6" t="s">
        <v>1</v>
      </c>
      <c r="B6">
        <v>2874.9650000000001</v>
      </c>
      <c r="C6">
        <v>50.59</v>
      </c>
      <c r="D6">
        <v>16636.526000000002</v>
      </c>
      <c r="E6">
        <v>27633.263999999999</v>
      </c>
      <c r="F6">
        <v>272.58</v>
      </c>
      <c r="G6">
        <v>4.5549999999999997</v>
      </c>
      <c r="H6">
        <v>50.78</v>
      </c>
    </row>
    <row r="7" spans="1:8" x14ac:dyDescent="0.2">
      <c r="A7" t="s">
        <v>9</v>
      </c>
      <c r="B7">
        <v>1488.7719999999999</v>
      </c>
      <c r="C7">
        <v>37.64</v>
      </c>
      <c r="D7">
        <v>5940.6760000000004</v>
      </c>
      <c r="E7">
        <v>4122.973</v>
      </c>
      <c r="F7">
        <v>118.252</v>
      </c>
      <c r="G7">
        <v>3.9830000000000001</v>
      </c>
      <c r="H7">
        <v>74.569999999999993</v>
      </c>
    </row>
  </sheetData>
  <mergeCells count="1">
    <mergeCell ref="A1:H2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916F6-4438-488D-B56D-60240714A7E4}">
  <dimension ref="A1:I63"/>
  <sheetViews>
    <sheetView tabSelected="1" topLeftCell="A37" zoomScale="145" zoomScaleNormal="145" workbookViewId="0">
      <selection activeCell="C51" sqref="C51"/>
    </sheetView>
  </sheetViews>
  <sheetFormatPr defaultRowHeight="14.25" x14ac:dyDescent="0.2"/>
  <cols>
    <col min="1" max="1" width="57.75" style="2" bestFit="1" customWidth="1"/>
    <col min="2" max="2" width="20.125" bestFit="1" customWidth="1"/>
    <col min="4" max="4" width="9.125" style="1" customWidth="1"/>
    <col min="5" max="5" width="11.875" bestFit="1" customWidth="1"/>
    <col min="6" max="6" width="11.125" style="1" customWidth="1"/>
    <col min="7" max="7" width="13.75" style="1" bestFit="1" customWidth="1"/>
    <col min="8" max="8" width="18.875" style="1" customWidth="1"/>
    <col min="9" max="9" width="11" style="1" bestFit="1" customWidth="1"/>
  </cols>
  <sheetData>
    <row r="1" spans="1:9" x14ac:dyDescent="0.2">
      <c r="A1" s="18" t="s">
        <v>14</v>
      </c>
      <c r="B1" s="18"/>
      <c r="C1" s="18"/>
      <c r="D1" s="18"/>
      <c r="E1" s="18"/>
      <c r="F1" s="18"/>
      <c r="G1" s="18"/>
      <c r="H1" s="18"/>
      <c r="I1" s="18"/>
    </row>
    <row r="2" spans="1:9" x14ac:dyDescent="0.2">
      <c r="A2" s="18"/>
      <c r="B2" s="18"/>
      <c r="C2" s="18"/>
      <c r="D2" s="18"/>
      <c r="E2" s="18"/>
      <c r="F2" s="18"/>
      <c r="G2" s="18"/>
      <c r="H2" s="18"/>
      <c r="I2" s="18"/>
    </row>
    <row r="3" spans="1:9" x14ac:dyDescent="0.2">
      <c r="A3" s="18"/>
      <c r="B3" s="18"/>
      <c r="C3" s="18"/>
      <c r="D3" s="18"/>
      <c r="E3" s="18"/>
      <c r="F3" s="18"/>
      <c r="G3" s="18"/>
      <c r="H3" s="18"/>
      <c r="I3" s="18"/>
    </row>
    <row r="4" spans="1:9" x14ac:dyDescent="0.2">
      <c r="A4" s="18"/>
      <c r="B4" s="18"/>
      <c r="C4" s="18"/>
      <c r="D4" s="18"/>
      <c r="E4" s="18"/>
      <c r="F4" s="18"/>
      <c r="G4" s="18"/>
      <c r="H4" s="18"/>
      <c r="I4" s="18"/>
    </row>
    <row r="5" spans="1:9" x14ac:dyDescent="0.2">
      <c r="A5" s="18"/>
      <c r="B5" s="18"/>
      <c r="C5" s="18"/>
      <c r="D5" s="18"/>
      <c r="E5" s="18"/>
      <c r="F5" s="18"/>
      <c r="G5" s="18"/>
      <c r="H5" s="18"/>
      <c r="I5" s="18"/>
    </row>
    <row r="6" spans="1:9" x14ac:dyDescent="0.2">
      <c r="A6" s="18"/>
      <c r="B6" s="18"/>
      <c r="C6" s="18"/>
      <c r="D6" s="18"/>
      <c r="E6" s="18"/>
      <c r="F6" s="18"/>
      <c r="G6" s="18"/>
      <c r="H6" s="18"/>
      <c r="I6" s="18"/>
    </row>
    <row r="7" spans="1:9" x14ac:dyDescent="0.2">
      <c r="A7" s="11" t="s">
        <v>0</v>
      </c>
      <c r="B7" s="12" t="s">
        <v>23</v>
      </c>
      <c r="C7" s="12" t="s">
        <v>15</v>
      </c>
      <c r="D7" s="12" t="s">
        <v>16</v>
      </c>
      <c r="E7" s="12" t="s">
        <v>17</v>
      </c>
      <c r="F7" s="12" t="s">
        <v>18</v>
      </c>
      <c r="G7" s="12" t="s">
        <v>19</v>
      </c>
      <c r="H7" s="12" t="s">
        <v>7</v>
      </c>
      <c r="I7" s="12" t="s">
        <v>8</v>
      </c>
    </row>
    <row r="8" spans="1:9" x14ac:dyDescent="0.2">
      <c r="A8" s="3" t="s">
        <v>20</v>
      </c>
      <c r="B8" s="4"/>
      <c r="C8" s="4">
        <v>2742.2089999999998</v>
      </c>
      <c r="D8" s="4">
        <v>46.43</v>
      </c>
      <c r="E8" s="4">
        <v>14398.66</v>
      </c>
      <c r="F8" s="4">
        <v>27633.263999999999</v>
      </c>
      <c r="G8" s="4">
        <v>251.46</v>
      </c>
      <c r="H8" s="4">
        <v>5.0460000000000003</v>
      </c>
      <c r="I8" s="5">
        <v>0.57789999999999997</v>
      </c>
    </row>
    <row r="9" spans="1:9" x14ac:dyDescent="0.2">
      <c r="A9" s="3" t="s">
        <v>21</v>
      </c>
      <c r="B9" s="4"/>
      <c r="C9" s="4">
        <v>6599.7219999999998</v>
      </c>
      <c r="D9" s="4">
        <v>106.16</v>
      </c>
      <c r="E9" s="4">
        <v>33884.845000000001</v>
      </c>
      <c r="F9" s="4">
        <v>27633.263999999999</v>
      </c>
      <c r="G9" s="4">
        <v>257.017</v>
      </c>
      <c r="H9" s="4">
        <v>5.1749999999999998</v>
      </c>
      <c r="I9" s="5">
        <v>0.59640000000000004</v>
      </c>
    </row>
    <row r="10" spans="1:9" x14ac:dyDescent="0.2">
      <c r="A10" s="8" t="s">
        <v>22</v>
      </c>
      <c r="B10" s="9" t="s">
        <v>24</v>
      </c>
      <c r="C10" s="9">
        <v>1624.181</v>
      </c>
      <c r="D10" s="9">
        <v>25.33</v>
      </c>
      <c r="E10" s="9">
        <v>7987.7330000000002</v>
      </c>
      <c r="F10" s="9">
        <v>27633.263999999999</v>
      </c>
      <c r="G10" s="9">
        <v>251.184</v>
      </c>
      <c r="H10" s="9">
        <v>4.923</v>
      </c>
      <c r="I10" s="10">
        <v>0.56040000000000001</v>
      </c>
    </row>
    <row r="11" spans="1:9" x14ac:dyDescent="0.2">
      <c r="A11" s="3" t="s">
        <v>25</v>
      </c>
      <c r="B11" s="4" t="s">
        <v>24</v>
      </c>
      <c r="C11" s="4">
        <v>2351.8960000000002</v>
      </c>
      <c r="D11" s="4">
        <v>40.75</v>
      </c>
      <c r="E11" s="4">
        <v>12479.17</v>
      </c>
      <c r="F11" s="4">
        <v>27633.263999999999</v>
      </c>
      <c r="G11" s="4">
        <v>248.529</v>
      </c>
      <c r="H11" s="4">
        <v>5.0830000000000002</v>
      </c>
      <c r="I11" s="5">
        <v>0.58330000000000004</v>
      </c>
    </row>
    <row r="12" spans="1:9" x14ac:dyDescent="0.2">
      <c r="A12" s="19"/>
      <c r="B12" s="19"/>
      <c r="C12" s="19"/>
      <c r="D12" s="19"/>
      <c r="E12" s="19"/>
      <c r="F12" s="19"/>
      <c r="G12" s="19"/>
      <c r="H12" s="19"/>
      <c r="I12" s="19"/>
    </row>
    <row r="13" spans="1:9" x14ac:dyDescent="0.2">
      <c r="A13" s="3" t="s">
        <v>26</v>
      </c>
      <c r="B13" s="4"/>
      <c r="C13" s="4">
        <v>1115.462</v>
      </c>
      <c r="D13" s="4">
        <v>44.61</v>
      </c>
      <c r="E13" s="4">
        <v>5641.3360000000002</v>
      </c>
      <c r="F13" s="4">
        <v>4122.973</v>
      </c>
      <c r="G13" s="4">
        <v>101.44199999999999</v>
      </c>
      <c r="H13" s="4">
        <v>3.871</v>
      </c>
      <c r="I13" s="5">
        <v>0.71779999999999999</v>
      </c>
    </row>
    <row r="14" spans="1:9" x14ac:dyDescent="0.2">
      <c r="A14" s="3" t="s">
        <v>27</v>
      </c>
      <c r="B14" s="4"/>
      <c r="C14" s="4">
        <v>1668.836</v>
      </c>
      <c r="D14" s="4">
        <v>61.65</v>
      </c>
      <c r="E14" s="4">
        <v>7987.89</v>
      </c>
      <c r="F14" s="4">
        <v>4122.973</v>
      </c>
      <c r="G14" s="4">
        <v>102.483</v>
      </c>
      <c r="H14" s="4">
        <v>4.0430000000000001</v>
      </c>
      <c r="I14" s="5">
        <v>0.76080000000000003</v>
      </c>
    </row>
    <row r="15" spans="1:9" x14ac:dyDescent="0.2">
      <c r="A15" s="13" t="s">
        <v>29</v>
      </c>
      <c r="B15" s="14"/>
      <c r="C15" s="14">
        <v>999.25</v>
      </c>
      <c r="D15" s="14">
        <v>38.97</v>
      </c>
      <c r="E15" s="14">
        <v>5088.5940000000001</v>
      </c>
      <c r="F15" s="14">
        <v>4122.973</v>
      </c>
      <c r="G15" s="14">
        <v>104.905</v>
      </c>
      <c r="H15" s="14">
        <v>3.9140000000000001</v>
      </c>
      <c r="I15" s="15">
        <v>0.72840000000000005</v>
      </c>
    </row>
    <row r="16" spans="1:9" x14ac:dyDescent="0.2">
      <c r="A16" s="3" t="s">
        <v>30</v>
      </c>
      <c r="B16" s="4"/>
      <c r="C16" s="4">
        <v>1650.925</v>
      </c>
      <c r="D16" s="4">
        <v>56.96</v>
      </c>
      <c r="E16" s="4">
        <v>7472.9589999999998</v>
      </c>
      <c r="F16" s="4">
        <v>4122.973</v>
      </c>
      <c r="G16" s="4">
        <v>102.211</v>
      </c>
      <c r="H16" s="4">
        <v>3.9420000000000002</v>
      </c>
      <c r="I16" s="5">
        <v>0.73550000000000004</v>
      </c>
    </row>
    <row r="17" spans="1:9" x14ac:dyDescent="0.2">
      <c r="A17" s="20"/>
      <c r="B17" s="21"/>
      <c r="C17" s="21"/>
      <c r="D17" s="21"/>
      <c r="E17" s="21"/>
      <c r="F17" s="21"/>
      <c r="G17" s="21"/>
      <c r="H17" s="21"/>
      <c r="I17" s="22"/>
    </row>
    <row r="18" spans="1:9" x14ac:dyDescent="0.2">
      <c r="A18" s="3" t="s">
        <v>31</v>
      </c>
      <c r="B18" s="4"/>
      <c r="C18" s="4">
        <v>1451.655</v>
      </c>
      <c r="D18" s="4">
        <v>38.08</v>
      </c>
      <c r="E18" s="4">
        <v>5368.0429999999997</v>
      </c>
      <c r="F18" s="4">
        <v>4122.973</v>
      </c>
      <c r="G18" s="4">
        <v>102.85</v>
      </c>
      <c r="H18" s="4">
        <v>3.93</v>
      </c>
      <c r="I18" s="5">
        <v>0.73240000000000005</v>
      </c>
    </row>
    <row r="19" spans="1:9" x14ac:dyDescent="0.2">
      <c r="A19" s="23" t="s">
        <v>38</v>
      </c>
      <c r="B19" s="24"/>
      <c r="C19" s="24">
        <v>891.85599999999999</v>
      </c>
      <c r="D19" s="24">
        <v>26.03</v>
      </c>
      <c r="E19" s="24">
        <v>3554.6030000000001</v>
      </c>
      <c r="F19" s="24">
        <v>4122.973</v>
      </c>
      <c r="G19" s="24">
        <v>102.286</v>
      </c>
      <c r="H19" s="24">
        <v>3.895</v>
      </c>
      <c r="I19" s="25">
        <v>0.7238</v>
      </c>
    </row>
    <row r="20" spans="1:9" x14ac:dyDescent="0.2">
      <c r="A20" s="23" t="s">
        <v>39</v>
      </c>
      <c r="B20" s="24"/>
      <c r="C20" s="24">
        <v>1501.125</v>
      </c>
      <c r="D20" s="24">
        <v>42.3</v>
      </c>
      <c r="E20" s="24">
        <v>5713.7560000000003</v>
      </c>
      <c r="F20" s="24">
        <v>4122.973</v>
      </c>
      <c r="G20" s="24">
        <v>99.558000000000007</v>
      </c>
      <c r="H20" s="24">
        <v>4.0659999999999998</v>
      </c>
      <c r="I20" s="25">
        <v>0.76649999999999996</v>
      </c>
    </row>
    <row r="21" spans="1:9" x14ac:dyDescent="0.2">
      <c r="B21" s="1"/>
      <c r="C21" s="1"/>
      <c r="E21" s="1"/>
    </row>
    <row r="22" spans="1:9" x14ac:dyDescent="0.2">
      <c r="B22" s="1"/>
      <c r="C22" s="1"/>
      <c r="E22" s="1"/>
    </row>
    <row r="23" spans="1:9" x14ac:dyDescent="0.2">
      <c r="B23" s="1"/>
      <c r="C23" s="1"/>
      <c r="E23" s="1"/>
    </row>
    <row r="24" spans="1:9" x14ac:dyDescent="0.2">
      <c r="B24" s="1"/>
      <c r="C24" s="1"/>
      <c r="E24" s="1"/>
    </row>
    <row r="25" spans="1:9" x14ac:dyDescent="0.2">
      <c r="A25" s="11" t="s">
        <v>11</v>
      </c>
      <c r="B25" s="12" t="s">
        <v>23</v>
      </c>
      <c r="C25" s="12" t="s">
        <v>15</v>
      </c>
      <c r="D25" s="12" t="s">
        <v>16</v>
      </c>
      <c r="E25" s="12" t="s">
        <v>17</v>
      </c>
      <c r="F25" s="12" t="s">
        <v>18</v>
      </c>
      <c r="G25" s="12" t="s">
        <v>19</v>
      </c>
      <c r="H25" s="12" t="s">
        <v>7</v>
      </c>
      <c r="I25" s="12" t="s">
        <v>8</v>
      </c>
    </row>
    <row r="26" spans="1:9" x14ac:dyDescent="0.2">
      <c r="A26" s="3" t="s">
        <v>20</v>
      </c>
      <c r="B26" s="4"/>
      <c r="C26" s="4">
        <v>3404.1219999999998</v>
      </c>
      <c r="D26" s="4">
        <v>69.709999999999994</v>
      </c>
      <c r="E26" s="4">
        <v>20823.683000000001</v>
      </c>
      <c r="F26" s="4">
        <v>27633.263999999999</v>
      </c>
      <c r="G26" s="4">
        <v>249.851</v>
      </c>
      <c r="H26" s="4">
        <v>4.8579999999999997</v>
      </c>
      <c r="I26" s="5">
        <v>0.55110000000000003</v>
      </c>
    </row>
    <row r="27" spans="1:9" x14ac:dyDescent="0.2">
      <c r="A27" s="3" t="s">
        <v>12</v>
      </c>
      <c r="B27" s="4"/>
      <c r="C27" s="4"/>
      <c r="D27" s="4"/>
      <c r="E27" s="4"/>
      <c r="F27" s="4"/>
      <c r="G27" s="4"/>
      <c r="H27" s="4"/>
      <c r="I27" s="4"/>
    </row>
    <row r="28" spans="1:9" x14ac:dyDescent="0.2">
      <c r="A28" s="8" t="s">
        <v>22</v>
      </c>
      <c r="B28" s="9" t="s">
        <v>24</v>
      </c>
      <c r="C28" s="9">
        <v>2295.3939999999998</v>
      </c>
      <c r="D28" s="9">
        <v>35.51</v>
      </c>
      <c r="E28" s="9">
        <v>11275.85</v>
      </c>
      <c r="F28" s="9">
        <v>27633.263999999999</v>
      </c>
      <c r="G28" s="9">
        <v>252.88499999999999</v>
      </c>
      <c r="H28" s="9">
        <v>4.952</v>
      </c>
      <c r="I28" s="9">
        <v>56.46</v>
      </c>
    </row>
    <row r="29" spans="1:9" x14ac:dyDescent="0.2">
      <c r="A29" s="3" t="s">
        <v>25</v>
      </c>
      <c r="B29" s="4" t="s">
        <v>24</v>
      </c>
      <c r="C29" s="4">
        <v>3197.5619999999999</v>
      </c>
      <c r="D29" s="4">
        <v>57.69</v>
      </c>
      <c r="E29" s="4">
        <v>17548.396000000001</v>
      </c>
      <c r="F29" s="4">
        <v>27633.263999999999</v>
      </c>
      <c r="G29" s="4">
        <v>248.71799999999999</v>
      </c>
      <c r="H29" s="4">
        <v>4.7560000000000002</v>
      </c>
      <c r="I29" s="5">
        <v>0.53649999999999998</v>
      </c>
    </row>
    <row r="30" spans="1:9" x14ac:dyDescent="0.2">
      <c r="A30" s="19"/>
      <c r="B30" s="19"/>
      <c r="C30" s="19"/>
      <c r="D30" s="19"/>
      <c r="E30" s="19"/>
      <c r="F30" s="19"/>
      <c r="G30" s="19"/>
      <c r="H30" s="19"/>
      <c r="I30" s="19"/>
    </row>
    <row r="31" spans="1:9" x14ac:dyDescent="0.2">
      <c r="A31" s="3" t="s">
        <v>26</v>
      </c>
      <c r="B31" s="6"/>
      <c r="C31" s="4">
        <v>2105.6799999999998</v>
      </c>
      <c r="D31" s="4">
        <v>68.900000000000006</v>
      </c>
      <c r="E31" s="4">
        <v>9271.6669999999995</v>
      </c>
      <c r="F31" s="4">
        <v>4122.973</v>
      </c>
      <c r="G31" s="4">
        <v>104.048</v>
      </c>
      <c r="H31" s="4">
        <v>3.964</v>
      </c>
      <c r="I31" s="5">
        <v>0.7409</v>
      </c>
    </row>
    <row r="32" spans="1:9" x14ac:dyDescent="0.2">
      <c r="A32" s="3" t="s">
        <v>27</v>
      </c>
      <c r="B32" s="6"/>
      <c r="C32" s="6">
        <v>2993.3510000000001</v>
      </c>
      <c r="D32" s="4">
        <v>94.89</v>
      </c>
      <c r="E32" s="6">
        <v>12354.625</v>
      </c>
      <c r="F32" s="4">
        <v>4122.973</v>
      </c>
      <c r="G32" s="4">
        <v>98.646000000000001</v>
      </c>
      <c r="H32" s="4">
        <v>4.0010000000000003</v>
      </c>
      <c r="I32" s="5">
        <v>0.75019999999999998</v>
      </c>
    </row>
    <row r="33" spans="1:9" x14ac:dyDescent="0.2">
      <c r="A33" s="13" t="s">
        <v>29</v>
      </c>
      <c r="B33" s="16"/>
      <c r="C33" s="16">
        <v>1883.412</v>
      </c>
      <c r="D33" s="14">
        <v>64.03</v>
      </c>
      <c r="E33" s="16">
        <v>8467.9879999999994</v>
      </c>
      <c r="F33" s="14">
        <v>4122.973</v>
      </c>
      <c r="G33" s="14">
        <v>102.816</v>
      </c>
      <c r="H33" s="14">
        <v>3.8849999999999998</v>
      </c>
      <c r="I33" s="15">
        <v>0.72130000000000005</v>
      </c>
    </row>
    <row r="34" spans="1:9" x14ac:dyDescent="0.2">
      <c r="A34" s="3" t="s">
        <v>30</v>
      </c>
      <c r="B34" s="6"/>
      <c r="C34" s="6">
        <v>2799.54</v>
      </c>
      <c r="D34" s="4">
        <v>92.408000000000001</v>
      </c>
      <c r="E34" s="6">
        <v>12126.867</v>
      </c>
      <c r="F34" s="4">
        <v>4122.973</v>
      </c>
      <c r="G34" s="4">
        <v>100.932</v>
      </c>
      <c r="H34" s="4">
        <v>3.996</v>
      </c>
      <c r="I34" s="5">
        <v>0.749</v>
      </c>
    </row>
    <row r="35" spans="1:9" x14ac:dyDescent="0.2">
      <c r="A35" s="19"/>
      <c r="B35" s="19"/>
      <c r="C35" s="19"/>
      <c r="D35" s="19"/>
      <c r="E35" s="19"/>
      <c r="F35" s="19"/>
      <c r="G35" s="19"/>
      <c r="H35" s="19"/>
      <c r="I35" s="19"/>
    </row>
    <row r="36" spans="1:9" x14ac:dyDescent="0.2">
      <c r="A36" s="3" t="s">
        <v>31</v>
      </c>
      <c r="B36" s="6"/>
      <c r="C36" s="6">
        <v>2728.4609999999998</v>
      </c>
      <c r="D36" s="4">
        <v>71.150000000000006</v>
      </c>
      <c r="E36" s="6">
        <v>10094.209999999999</v>
      </c>
      <c r="F36" s="4">
        <v>4122.973</v>
      </c>
      <c r="G36" s="4">
        <v>103.524</v>
      </c>
      <c r="H36" s="4">
        <v>3.96</v>
      </c>
      <c r="I36" s="5">
        <v>0.74009999999999998</v>
      </c>
    </row>
    <row r="38" spans="1:9" ht="15" thickBot="1" x14ac:dyDescent="0.25"/>
    <row r="39" spans="1:9" x14ac:dyDescent="0.2">
      <c r="A39" s="11" t="s">
        <v>0</v>
      </c>
      <c r="B39" s="12" t="s">
        <v>23</v>
      </c>
      <c r="C39" s="12" t="s">
        <v>15</v>
      </c>
      <c r="D39" s="31" t="s">
        <v>16</v>
      </c>
      <c r="E39" s="38" t="s">
        <v>17</v>
      </c>
      <c r="F39" s="33" t="s">
        <v>18</v>
      </c>
      <c r="G39" s="12" t="s">
        <v>19</v>
      </c>
      <c r="H39" s="12" t="s">
        <v>7</v>
      </c>
      <c r="I39" s="12" t="s">
        <v>8</v>
      </c>
    </row>
    <row r="40" spans="1:9" x14ac:dyDescent="0.2">
      <c r="A40" s="8" t="s">
        <v>22</v>
      </c>
      <c r="B40" s="9" t="s">
        <v>24</v>
      </c>
      <c r="C40" s="9">
        <v>1624.181</v>
      </c>
      <c r="D40" s="32">
        <v>25.33</v>
      </c>
      <c r="E40" s="37">
        <v>7987.7330000000002</v>
      </c>
      <c r="F40" s="34">
        <v>27633.263999999999</v>
      </c>
      <c r="G40" s="9">
        <v>251.184</v>
      </c>
      <c r="H40" s="9">
        <v>4.923</v>
      </c>
      <c r="I40" s="10">
        <v>0.56040000000000001</v>
      </c>
    </row>
    <row r="41" spans="1:9" x14ac:dyDescent="0.2">
      <c r="E41" s="35"/>
    </row>
    <row r="42" spans="1:9" x14ac:dyDescent="0.2">
      <c r="A42" s="11" t="s">
        <v>11</v>
      </c>
      <c r="B42" s="12" t="s">
        <v>23</v>
      </c>
      <c r="C42" s="12" t="s">
        <v>15</v>
      </c>
      <c r="D42" s="31" t="s">
        <v>16</v>
      </c>
      <c r="E42" s="36" t="s">
        <v>17</v>
      </c>
      <c r="F42" s="33" t="s">
        <v>18</v>
      </c>
      <c r="G42" s="12" t="s">
        <v>19</v>
      </c>
      <c r="H42" s="12" t="s">
        <v>7</v>
      </c>
      <c r="I42" s="12" t="s">
        <v>8</v>
      </c>
    </row>
    <row r="43" spans="1:9" x14ac:dyDescent="0.2">
      <c r="A43" s="8" t="s">
        <v>22</v>
      </c>
      <c r="B43" s="9" t="s">
        <v>24</v>
      </c>
      <c r="C43" s="9">
        <v>2295.3939999999998</v>
      </c>
      <c r="D43" s="32">
        <v>35.51</v>
      </c>
      <c r="E43" s="37">
        <v>11275.85</v>
      </c>
      <c r="F43" s="34">
        <v>27633.263999999999</v>
      </c>
      <c r="G43" s="9">
        <v>252.88499999999999</v>
      </c>
      <c r="H43" s="9">
        <v>4.952</v>
      </c>
      <c r="I43" s="9">
        <v>56.46</v>
      </c>
    </row>
    <row r="44" spans="1:9" x14ac:dyDescent="0.2">
      <c r="E44" s="35"/>
    </row>
    <row r="45" spans="1:9" x14ac:dyDescent="0.2">
      <c r="A45" s="11" t="s">
        <v>49</v>
      </c>
      <c r="B45" s="12" t="s">
        <v>23</v>
      </c>
      <c r="C45" s="12" t="s">
        <v>15</v>
      </c>
      <c r="D45" s="31" t="s">
        <v>16</v>
      </c>
      <c r="E45" s="36" t="s">
        <v>17</v>
      </c>
      <c r="F45" s="33" t="s">
        <v>18</v>
      </c>
      <c r="G45" s="12" t="s">
        <v>19</v>
      </c>
      <c r="H45" s="12" t="s">
        <v>7</v>
      </c>
      <c r="I45" s="12" t="s">
        <v>8</v>
      </c>
    </row>
    <row r="46" spans="1:9" x14ac:dyDescent="0.2">
      <c r="A46" s="8" t="s">
        <v>22</v>
      </c>
      <c r="B46" s="9" t="s">
        <v>24</v>
      </c>
      <c r="C46" s="9">
        <v>2233.4229999999998</v>
      </c>
      <c r="D46" s="32">
        <v>37.372999999999998</v>
      </c>
      <c r="E46" s="37">
        <v>11478.325999999999</v>
      </c>
      <c r="F46" s="34">
        <v>27633.263999999999</v>
      </c>
      <c r="G46" s="9">
        <v>247.36199999999999</v>
      </c>
      <c r="H46" s="9">
        <v>5.0369999999999999</v>
      </c>
      <c r="I46" s="10">
        <v>0.57679999999999998</v>
      </c>
    </row>
    <row r="47" spans="1:9" x14ac:dyDescent="0.2">
      <c r="E47" s="35"/>
    </row>
    <row r="48" spans="1:9" x14ac:dyDescent="0.2">
      <c r="A48" s="11" t="s">
        <v>50</v>
      </c>
      <c r="B48" s="12" t="s">
        <v>23</v>
      </c>
      <c r="C48" s="12" t="s">
        <v>15</v>
      </c>
      <c r="D48" s="31" t="s">
        <v>16</v>
      </c>
      <c r="E48" s="36" t="s">
        <v>17</v>
      </c>
      <c r="F48" s="33" t="s">
        <v>18</v>
      </c>
      <c r="G48" s="12" t="s">
        <v>19</v>
      </c>
      <c r="H48" s="12" t="s">
        <v>7</v>
      </c>
      <c r="I48" s="12" t="s">
        <v>8</v>
      </c>
    </row>
    <row r="49" spans="1:9" x14ac:dyDescent="0.2">
      <c r="A49" s="8" t="s">
        <v>22</v>
      </c>
      <c r="B49" s="9" t="s">
        <v>24</v>
      </c>
      <c r="C49" s="9">
        <v>1980.2750000000001</v>
      </c>
      <c r="D49" s="32">
        <v>33.127000000000002</v>
      </c>
      <c r="E49" s="37">
        <v>10336.142</v>
      </c>
      <c r="F49" s="34">
        <v>27633.263999999999</v>
      </c>
      <c r="G49" s="9">
        <v>252.23599999999999</v>
      </c>
      <c r="H49" s="9">
        <v>4.8250000000000002</v>
      </c>
      <c r="I49" s="10">
        <v>0.5464</v>
      </c>
    </row>
    <row r="50" spans="1:9" x14ac:dyDescent="0.2">
      <c r="E50" s="35"/>
    </row>
    <row r="51" spans="1:9" ht="28.5" x14ac:dyDescent="0.2">
      <c r="A51" s="30" t="s">
        <v>51</v>
      </c>
      <c r="B51" s="12" t="s">
        <v>23</v>
      </c>
      <c r="C51" s="12" t="s">
        <v>15</v>
      </c>
      <c r="D51" s="31" t="s">
        <v>16</v>
      </c>
      <c r="E51" s="36" t="s">
        <v>17</v>
      </c>
      <c r="F51" s="33" t="s">
        <v>18</v>
      </c>
      <c r="G51" s="12" t="s">
        <v>19</v>
      </c>
      <c r="H51" s="12" t="s">
        <v>7</v>
      </c>
      <c r="I51" s="12" t="s">
        <v>8</v>
      </c>
    </row>
    <row r="52" spans="1:9" x14ac:dyDescent="0.2">
      <c r="A52" s="8" t="s">
        <v>22</v>
      </c>
      <c r="B52" s="9" t="s">
        <v>24</v>
      </c>
      <c r="C52" s="9">
        <v>1924.31</v>
      </c>
      <c r="D52" s="32">
        <v>32.076000000000001</v>
      </c>
      <c r="E52" s="37">
        <v>9995.5840000000007</v>
      </c>
      <c r="F52" s="34">
        <v>27633.263999999999</v>
      </c>
      <c r="G52" s="9">
        <v>251.61500000000001</v>
      </c>
      <c r="H52" s="9">
        <v>5.0970000000000004</v>
      </c>
      <c r="I52" s="10">
        <v>0.58530000000000004</v>
      </c>
    </row>
    <row r="53" spans="1:9" x14ac:dyDescent="0.2">
      <c r="E53" s="35"/>
    </row>
    <row r="54" spans="1:9" x14ac:dyDescent="0.2">
      <c r="E54" s="35"/>
    </row>
    <row r="55" spans="1:9" x14ac:dyDescent="0.2">
      <c r="A55" s="2">
        <v>10.27</v>
      </c>
      <c r="E55" s="35"/>
    </row>
    <row r="56" spans="1:9" x14ac:dyDescent="0.2">
      <c r="A56" s="30" t="s">
        <v>52</v>
      </c>
      <c r="B56" s="12" t="s">
        <v>23</v>
      </c>
      <c r="C56" s="12" t="s">
        <v>15</v>
      </c>
      <c r="D56" s="31" t="s">
        <v>16</v>
      </c>
      <c r="E56" s="36" t="s">
        <v>17</v>
      </c>
      <c r="F56" s="33" t="s">
        <v>18</v>
      </c>
      <c r="G56" s="12" t="s">
        <v>19</v>
      </c>
      <c r="H56" s="12" t="s">
        <v>7</v>
      </c>
      <c r="I56" s="12" t="s">
        <v>8</v>
      </c>
    </row>
    <row r="57" spans="1:9" ht="15" thickBot="1" x14ac:dyDescent="0.25">
      <c r="A57" s="8" t="s">
        <v>22</v>
      </c>
      <c r="B57" s="9" t="s">
        <v>24</v>
      </c>
      <c r="C57" s="9">
        <v>1874.6289999999999</v>
      </c>
      <c r="D57" s="32">
        <f>(E57-C57)/G57</f>
        <v>30.352437937318076</v>
      </c>
      <c r="E57" s="39">
        <v>9570.0040000000008</v>
      </c>
      <c r="F57" s="34">
        <v>27633.263999999999</v>
      </c>
      <c r="G57" s="9">
        <v>253.53399999999999</v>
      </c>
      <c r="H57" s="9">
        <v>4.8920000000000003</v>
      </c>
      <c r="I57" s="10">
        <v>0.55600000000000005</v>
      </c>
    </row>
    <row r="58" spans="1:9" x14ac:dyDescent="0.2">
      <c r="E58" s="35"/>
    </row>
    <row r="59" spans="1:9" x14ac:dyDescent="0.2">
      <c r="A59" s="30" t="s">
        <v>53</v>
      </c>
      <c r="B59" s="12" t="s">
        <v>23</v>
      </c>
      <c r="C59" s="12" t="s">
        <v>15</v>
      </c>
      <c r="D59" s="31" t="s">
        <v>16</v>
      </c>
      <c r="E59" s="36" t="s">
        <v>17</v>
      </c>
      <c r="F59" s="33" t="s">
        <v>18</v>
      </c>
      <c r="G59" s="12" t="s">
        <v>19</v>
      </c>
      <c r="H59" s="12" t="s">
        <v>7</v>
      </c>
      <c r="I59" s="12" t="s">
        <v>8</v>
      </c>
    </row>
    <row r="60" spans="1:9" ht="15" thickBot="1" x14ac:dyDescent="0.25">
      <c r="A60" s="8" t="s">
        <v>22</v>
      </c>
      <c r="B60" s="9" t="s">
        <v>24</v>
      </c>
      <c r="C60" s="9">
        <v>1708.883</v>
      </c>
      <c r="D60" s="32">
        <f>(E60-C60)/G60</f>
        <v>31.511252340557498</v>
      </c>
      <c r="E60" s="39">
        <v>9736.2800000000007</v>
      </c>
      <c r="F60" s="34">
        <v>27633.263999999999</v>
      </c>
      <c r="G60" s="9">
        <v>254.74700000000001</v>
      </c>
      <c r="H60" s="9">
        <v>4.8010000000000002</v>
      </c>
      <c r="I60" s="10">
        <v>0.54310000000000003</v>
      </c>
    </row>
    <row r="61" spans="1:9" x14ac:dyDescent="0.2">
      <c r="E61" s="35"/>
    </row>
    <row r="62" spans="1:9" x14ac:dyDescent="0.2">
      <c r="A62" s="30" t="s">
        <v>54</v>
      </c>
      <c r="B62" s="12" t="s">
        <v>23</v>
      </c>
      <c r="C62" s="12" t="s">
        <v>15</v>
      </c>
      <c r="D62" s="31" t="s">
        <v>16</v>
      </c>
      <c r="E62" s="36" t="s">
        <v>17</v>
      </c>
      <c r="F62" s="33" t="s">
        <v>18</v>
      </c>
      <c r="G62" s="12" t="s">
        <v>19</v>
      </c>
      <c r="H62" s="12" t="s">
        <v>7</v>
      </c>
      <c r="I62" s="12" t="s">
        <v>8</v>
      </c>
    </row>
    <row r="63" spans="1:9" ht="15" thickBot="1" x14ac:dyDescent="0.25">
      <c r="A63" s="8" t="s">
        <v>22</v>
      </c>
      <c r="B63" s="9" t="s">
        <v>24</v>
      </c>
      <c r="C63" s="9">
        <v>1794.5340000000001</v>
      </c>
      <c r="D63" s="32">
        <f>(E63-C63)/G63</f>
        <v>29.722420568267935</v>
      </c>
      <c r="E63" s="39">
        <v>9403.652</v>
      </c>
      <c r="F63" s="34">
        <v>27633.263999999999</v>
      </c>
      <c r="G63" s="9">
        <v>256.00599999999997</v>
      </c>
      <c r="H63" s="9">
        <v>5.0970000000000004</v>
      </c>
      <c r="I63" s="10">
        <v>0.58530000000000004</v>
      </c>
    </row>
  </sheetData>
  <mergeCells count="5">
    <mergeCell ref="A1:I6"/>
    <mergeCell ref="A12:I12"/>
    <mergeCell ref="A30:I30"/>
    <mergeCell ref="A17:I17"/>
    <mergeCell ref="A35:I3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8E5CC-6806-4F21-A99D-373F71A96198}">
  <dimension ref="A1:I17"/>
  <sheetViews>
    <sheetView zoomScale="160" zoomScaleNormal="160" workbookViewId="0">
      <selection activeCell="D21" sqref="D21"/>
    </sheetView>
  </sheetViews>
  <sheetFormatPr defaultRowHeight="14.25" x14ac:dyDescent="0.2"/>
  <cols>
    <col min="1" max="1" width="17.625" style="1" bestFit="1" customWidth="1"/>
    <col min="2" max="2" width="12" style="1" customWidth="1"/>
    <col min="3" max="6" width="9" style="1"/>
    <col min="7" max="7" width="13.5" style="1" customWidth="1"/>
    <col min="8" max="8" width="17.375" style="1" customWidth="1"/>
    <col min="9" max="9" width="36.875" bestFit="1" customWidth="1"/>
  </cols>
  <sheetData>
    <row r="1" spans="1:9" x14ac:dyDescent="0.2">
      <c r="A1" s="27" t="s">
        <v>48</v>
      </c>
      <c r="B1" s="27"/>
      <c r="C1" s="27"/>
      <c r="D1" s="27"/>
      <c r="E1" s="27"/>
      <c r="F1" s="27"/>
      <c r="G1" s="27"/>
      <c r="H1" s="27"/>
      <c r="I1" s="27"/>
    </row>
    <row r="2" spans="1:9" x14ac:dyDescent="0.2">
      <c r="A2" s="27"/>
      <c r="B2" s="27"/>
      <c r="C2" s="27"/>
      <c r="D2" s="27"/>
      <c r="E2" s="27"/>
      <c r="F2" s="27"/>
      <c r="G2" s="27"/>
      <c r="H2" s="27"/>
      <c r="I2" s="27"/>
    </row>
    <row r="3" spans="1:9" x14ac:dyDescent="0.2">
      <c r="A3" s="27"/>
      <c r="B3" s="27"/>
      <c r="C3" s="27"/>
      <c r="D3" s="27"/>
      <c r="E3" s="27"/>
      <c r="F3" s="27"/>
      <c r="G3" s="27"/>
      <c r="H3" s="27"/>
      <c r="I3" s="27"/>
    </row>
    <row r="4" spans="1:9" x14ac:dyDescent="0.2">
      <c r="A4" s="27"/>
      <c r="B4" s="27"/>
      <c r="C4" s="27"/>
      <c r="D4" s="27"/>
      <c r="E4" s="27"/>
      <c r="F4" s="27"/>
      <c r="G4" s="27"/>
      <c r="H4" s="27"/>
      <c r="I4" s="27"/>
    </row>
    <row r="5" spans="1:9" x14ac:dyDescent="0.2">
      <c r="A5" s="19" t="s">
        <v>42</v>
      </c>
      <c r="B5" s="19" t="s">
        <v>44</v>
      </c>
      <c r="C5" s="19" t="s">
        <v>13</v>
      </c>
      <c r="D5" s="19"/>
      <c r="E5" s="19"/>
      <c r="F5" s="19"/>
      <c r="G5" s="19" t="s">
        <v>28</v>
      </c>
      <c r="H5" s="19"/>
      <c r="I5" s="19" t="s">
        <v>40</v>
      </c>
    </row>
    <row r="6" spans="1:9" x14ac:dyDescent="0.2">
      <c r="A6" s="19"/>
      <c r="B6" s="19"/>
      <c r="C6" s="7" t="s">
        <v>32</v>
      </c>
      <c r="D6" s="7" t="s">
        <v>33</v>
      </c>
      <c r="E6" s="7" t="s">
        <v>34</v>
      </c>
      <c r="F6" s="7" t="s">
        <v>37</v>
      </c>
      <c r="G6" s="7" t="s">
        <v>35</v>
      </c>
      <c r="H6" s="7" t="s">
        <v>36</v>
      </c>
      <c r="I6" s="19"/>
    </row>
    <row r="7" spans="1:9" x14ac:dyDescent="0.2">
      <c r="A7" s="7" t="s">
        <v>43</v>
      </c>
      <c r="B7" s="7" t="s">
        <v>45</v>
      </c>
      <c r="C7" s="26">
        <v>39.869999999999997</v>
      </c>
      <c r="D7" s="7">
        <v>13.48</v>
      </c>
      <c r="E7" s="7">
        <v>7.2</v>
      </c>
      <c r="F7" s="7">
        <v>12.25</v>
      </c>
      <c r="G7" s="7">
        <v>8.01</v>
      </c>
      <c r="H7" s="7">
        <v>4.09</v>
      </c>
      <c r="I7" s="6" t="s">
        <v>41</v>
      </c>
    </row>
    <row r="8" spans="1:9" x14ac:dyDescent="0.2">
      <c r="A8" s="7" t="s">
        <v>46</v>
      </c>
      <c r="B8" s="7">
        <v>61</v>
      </c>
      <c r="C8" s="26">
        <v>29.42</v>
      </c>
      <c r="D8" s="7">
        <v>7.79</v>
      </c>
      <c r="E8" s="7">
        <v>4.17</v>
      </c>
      <c r="F8" s="7">
        <v>7.8</v>
      </c>
      <c r="G8" s="7">
        <v>2.9</v>
      </c>
      <c r="H8" s="7">
        <v>3</v>
      </c>
      <c r="I8" s="6"/>
    </row>
    <row r="11" spans="1:9" ht="14.25" customHeight="1" x14ac:dyDescent="0.2">
      <c r="A11" s="27" t="s">
        <v>47</v>
      </c>
      <c r="B11" s="27"/>
      <c r="C11" s="27"/>
      <c r="D11" s="27"/>
      <c r="E11" s="27"/>
      <c r="F11" s="27"/>
      <c r="G11" s="27"/>
      <c r="H11" s="27"/>
      <c r="I11" s="28"/>
    </row>
    <row r="12" spans="1:9" x14ac:dyDescent="0.2">
      <c r="A12" s="27"/>
      <c r="B12" s="27"/>
      <c r="C12" s="27"/>
      <c r="D12" s="27"/>
      <c r="E12" s="27"/>
      <c r="F12" s="27"/>
      <c r="G12" s="27"/>
      <c r="H12" s="27"/>
      <c r="I12" s="28"/>
    </row>
    <row r="13" spans="1:9" x14ac:dyDescent="0.2">
      <c r="A13" s="27"/>
      <c r="B13" s="27"/>
      <c r="C13" s="27"/>
      <c r="D13" s="27"/>
      <c r="E13" s="27"/>
      <c r="F13" s="27"/>
      <c r="G13" s="27"/>
      <c r="H13" s="27"/>
      <c r="I13" s="28"/>
    </row>
    <row r="14" spans="1:9" ht="15" customHeight="1" x14ac:dyDescent="0.2">
      <c r="A14" s="29"/>
      <c r="B14" s="29"/>
      <c r="C14" s="29"/>
      <c r="D14" s="29"/>
      <c r="E14" s="29"/>
      <c r="F14" s="29"/>
      <c r="G14" s="29"/>
      <c r="H14" s="29"/>
      <c r="I14" s="28"/>
    </row>
    <row r="15" spans="1:9" x14ac:dyDescent="0.2">
      <c r="A15" s="19" t="s">
        <v>42</v>
      </c>
      <c r="B15" s="19" t="s">
        <v>44</v>
      </c>
      <c r="C15" s="19" t="s">
        <v>13</v>
      </c>
      <c r="D15" s="19"/>
      <c r="E15" s="19"/>
      <c r="F15" s="19"/>
      <c r="G15" s="19" t="s">
        <v>28</v>
      </c>
      <c r="H15" s="19"/>
    </row>
    <row r="16" spans="1:9" x14ac:dyDescent="0.2">
      <c r="A16" s="19"/>
      <c r="B16" s="19"/>
      <c r="C16" s="7" t="s">
        <v>32</v>
      </c>
      <c r="D16" s="7" t="s">
        <v>33</v>
      </c>
      <c r="E16" s="7" t="s">
        <v>34</v>
      </c>
      <c r="F16" s="7" t="s">
        <v>37</v>
      </c>
      <c r="G16" s="7" t="s">
        <v>35</v>
      </c>
      <c r="H16" s="7" t="s">
        <v>36</v>
      </c>
    </row>
    <row r="17" spans="1:8" x14ac:dyDescent="0.2">
      <c r="A17" s="7" t="s">
        <v>46</v>
      </c>
      <c r="B17" s="7">
        <v>33.69</v>
      </c>
      <c r="C17" s="6">
        <v>7.96</v>
      </c>
      <c r="D17" s="7">
        <v>5.46</v>
      </c>
      <c r="E17" s="7">
        <v>4.6900000000000004</v>
      </c>
      <c r="F17" s="7">
        <v>3.54</v>
      </c>
      <c r="G17" s="7">
        <v>3.89</v>
      </c>
      <c r="H17" s="7">
        <v>4.0199999999999996</v>
      </c>
    </row>
  </sheetData>
  <mergeCells count="11">
    <mergeCell ref="A15:A16"/>
    <mergeCell ref="B15:B16"/>
    <mergeCell ref="C15:F15"/>
    <mergeCell ref="G15:H15"/>
    <mergeCell ref="A11:H14"/>
    <mergeCell ref="C5:F5"/>
    <mergeCell ref="I5:I6"/>
    <mergeCell ref="A5:A6"/>
    <mergeCell ref="B5:B6"/>
    <mergeCell ref="A1:I4"/>
    <mergeCell ref="G5:H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026</vt:lpstr>
      <vt:lpstr>030</vt:lpstr>
      <vt:lpstr>实机端到端测试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zhangfan (E)</dc:creator>
  <cp:lastModifiedBy>zhangfan (E)</cp:lastModifiedBy>
  <dcterms:created xsi:type="dcterms:W3CDTF">2026-10-13T06:47:55Z</dcterms:created>
  <dcterms:modified xsi:type="dcterms:W3CDTF">2026-10-28T07:35:23Z</dcterms:modified>
</cp:coreProperties>
</file>